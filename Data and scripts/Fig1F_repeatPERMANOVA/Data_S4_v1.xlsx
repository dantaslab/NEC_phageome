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DataS/"/>
    </mc:Choice>
  </mc:AlternateContent>
  <xr:revisionPtr revIDLastSave="0" documentId="13_ncr:1_{DD14D100-EC73-7B4E-BC4E-B5AA7F777215}" xr6:coauthVersionLast="47" xr6:coauthVersionMax="47" xr10:uidLastSave="{00000000-0000-0000-0000-000000000000}"/>
  <bookViews>
    <workbookView xWindow="7580" yWindow="500" windowWidth="27640" windowHeight="16940" xr2:uid="{B27830FA-2E66-0240-B609-7F11C01FEBCD}"/>
  </bookViews>
  <sheets>
    <sheet name="Data_S4" sheetId="1" r:id="rId1"/>
  </sheets>
  <definedNames>
    <definedName name="_xlnm._FilterDatabase" localSheetId="0" hidden="1">Data_S4!$D$1:$D$55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<sst xmlns="http://schemas.openxmlformats.org/spreadsheetml/2006/main" count="113" uniqueCount="64">
  <si>
    <t>Variable</t>
  </si>
  <si>
    <t>Group</t>
  </si>
  <si>
    <t>BH P_value_vOTU</t>
  </si>
  <si>
    <t>-LOG10_BH P_value_vOTU</t>
  </si>
  <si>
    <t>DOL</t>
  </si>
  <si>
    <t>GA_birth</t>
  </si>
  <si>
    <t>Baseline</t>
  </si>
  <si>
    <t>Birthweight</t>
  </si>
  <si>
    <t>Gender</t>
  </si>
  <si>
    <t>route</t>
  </si>
  <si>
    <t>multiple</t>
  </si>
  <si>
    <t>Site</t>
  </si>
  <si>
    <t>mat_age</t>
  </si>
  <si>
    <t>Maternal</t>
  </si>
  <si>
    <t>mat_in_meds</t>
  </si>
  <si>
    <t>mat_steroids</t>
  </si>
  <si>
    <t>mat_preeclampsia</t>
  </si>
  <si>
    <t>mat_diabetes</t>
  </si>
  <si>
    <t>mat_chorio</t>
  </si>
  <si>
    <t>Maternal_race</t>
  </si>
  <si>
    <t>mat_ppbmi</t>
  </si>
  <si>
    <t>mat_out_abx</t>
  </si>
  <si>
    <t>mat_in_abx</t>
  </si>
  <si>
    <t>Recent_penicillin</t>
  </si>
  <si>
    <t>Antibiotics</t>
  </si>
  <si>
    <t>Recent_amingoglycoside</t>
  </si>
  <si>
    <t>Recent_lincosamide</t>
  </si>
  <si>
    <t>Recent_glycopeptide</t>
  </si>
  <si>
    <t>Recent_carbapenem</t>
  </si>
  <si>
    <t>Recent_macrolide</t>
  </si>
  <si>
    <t>Recent_1st_gen_cephalosporin</t>
  </si>
  <si>
    <t>Recent_2nd_gen_cephalosporin</t>
  </si>
  <si>
    <t>Recent_3rd_gen_cephalosporin</t>
  </si>
  <si>
    <t>Recent_4th_gen_cephalosporin</t>
  </si>
  <si>
    <t>Other_ANTIM_recent</t>
  </si>
  <si>
    <t>Acetaminophen_recent</t>
  </si>
  <si>
    <t>Medications</t>
  </si>
  <si>
    <t>Caffeine_recent</t>
  </si>
  <si>
    <t>Calcium_gluconate_recent</t>
  </si>
  <si>
    <t>Chlorathiazide_recent</t>
  </si>
  <si>
    <t>Cholecalciferol_recent</t>
  </si>
  <si>
    <t>Dexamethasone_recent</t>
  </si>
  <si>
    <t>Dopamine_recent</t>
  </si>
  <si>
    <t>Famotidine_recent</t>
  </si>
  <si>
    <t>Fentanyl_recent</t>
  </si>
  <si>
    <t>Hydrocortisone_recent</t>
  </si>
  <si>
    <t>Indomethacin_recent</t>
  </si>
  <si>
    <t>Insulin_recent</t>
  </si>
  <si>
    <t>Iron_recent</t>
  </si>
  <si>
    <t>Lasix_recent</t>
  </si>
  <si>
    <t>Midazolam_recent</t>
  </si>
  <si>
    <t>Morphine_recent</t>
  </si>
  <si>
    <t>Multi_vitamin_with_iron_recent</t>
  </si>
  <si>
    <t>Multi_vitamin_no_iron_recent</t>
  </si>
  <si>
    <t>Phenobarbitol_recent</t>
  </si>
  <si>
    <t>Potassium_chloride_recent</t>
  </si>
  <si>
    <t>Sodium_chloride_recent</t>
  </si>
  <si>
    <t>Sodium_bicarbonate_recent</t>
  </si>
  <si>
    <t>Surfactant_recent</t>
  </si>
  <si>
    <t>Vitamin_A_recent</t>
  </si>
  <si>
    <t>milk_cumulive</t>
  </si>
  <si>
    <t>Diet</t>
  </si>
  <si>
    <t>formula_cumulative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</si>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</sst>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FF5D-CDD7-1244-AB6C-5DD0437C0592}">
  <dimension ref="A1:E55"/>
  <sheetViews>
    <sheetView tabSelected="1" workbookViewId="0">
      <selection activeCell="C30" sqref="C30:C50"/>
    </sheetView>
  </sheetViews>
  <sheetFormatPr baseColWidth="10" defaultRowHeight="16" x14ac:dyDescent="0.2"/>
  <cols>
    <col min="1" max="1" width="28.1640625" bestFit="1" customWidth="1"/>
    <col min="4" max="4" width="15.83203125" bestFit="1" customWidth="1"/>
    <col min="5" max="5" width="23.33203125" bestFit="1" customWidth="1"/>
  </cols>
  <sheetData>
    <row r="1" spans="1:5" x14ac:dyDescent="0.2">
      <c r="A1" s="1" t="s">
        <v>0</v>
      </c>
      <c r="B1" t="s">
        <v>1</v>
      </c>
      <c r="C1" t="s">
        <v>63</v>
      </c>
      <c r="D1" t="s">
        <v>2</v>
      </c>
      <c r="E1" s="2" t="s">
        <v>3</v>
      </c>
    </row>
    <row r="2" spans="1:5" x14ac:dyDescent="0.2">
      <c r="A2" s="3" t="s">
        <v>4</v>
      </c>
      <c r="B2" t="s">
        <v>4</v>
      </c>
      <c r="C2">
        <v>9.9570567792942807E-3</v>
      </c>
      <c r="D2">
        <v>2.7000000000000001E-3</v>
      </c>
      <c r="E2">
        <f t="shared" ref="E2:E33" si="0">-LOG10(D2)</f>
        <v>2.5686362358410126</v>
      </c>
    </row>
    <row r="3" spans="1:5" x14ac:dyDescent="0.2">
      <c r="A3" s="1" t="s">
        <v>5</v>
      </c>
      <c r="B3" t="s">
        <v>6</v>
      </c>
      <c r="C3">
        <v>4.6154898222227E-3</v>
      </c>
      <c r="D3">
        <v>1</v>
      </c>
      <c r="E3">
        <f t="shared" si="0"/>
        <v>0</v>
      </c>
    </row>
    <row r="4" spans="1:5" x14ac:dyDescent="0.2">
      <c r="A4" s="1" t="s">
        <v>7</v>
      </c>
      <c r="B4" t="s">
        <v>6</v>
      </c>
      <c r="C4">
        <v>5.0085390042540097E-3</v>
      </c>
      <c r="D4">
        <v>1</v>
      </c>
      <c r="E4">
        <f t="shared" si="0"/>
        <v>0</v>
      </c>
    </row>
    <row r="5" spans="1:5" x14ac:dyDescent="0.2">
      <c r="A5" s="1" t="s">
        <v>8</v>
      </c>
      <c r="B5" t="s">
        <v>6</v>
      </c>
      <c r="C5">
        <v>6.6974458291601899E-3</v>
      </c>
      <c r="D5">
        <v>0.78054545500000005</v>
      </c>
      <c r="E5">
        <f t="shared" si="0"/>
        <v>0.10760180076189652</v>
      </c>
    </row>
    <row r="6" spans="1:5" x14ac:dyDescent="0.2">
      <c r="A6" s="1" t="s">
        <v>9</v>
      </c>
      <c r="B6" t="s">
        <v>6</v>
      </c>
      <c r="C6">
        <v>6.5244775239875399E-3</v>
      </c>
      <c r="D6">
        <v>0.81229787200000003</v>
      </c>
      <c r="E6">
        <f t="shared" si="0"/>
        <v>9.0284684497857801E-2</v>
      </c>
    </row>
    <row r="7" spans="1:5" x14ac:dyDescent="0.2">
      <c r="A7" s="1" t="s">
        <v>10</v>
      </c>
      <c r="B7" t="s">
        <v>6</v>
      </c>
      <c r="C7">
        <v>4.9259540760741901E-3</v>
      </c>
      <c r="D7">
        <v>0.98576470599999999</v>
      </c>
      <c r="E7">
        <f t="shared" si="0"/>
        <v>6.2267352417939379E-3</v>
      </c>
    </row>
    <row r="8" spans="1:5" x14ac:dyDescent="0.2">
      <c r="A8" s="1" t="s">
        <v>11</v>
      </c>
      <c r="B8" t="s">
        <v>6</v>
      </c>
      <c r="C8">
        <v>2.05767360822511E-2</v>
      </c>
      <c r="D8">
        <v>8.6400000000000001E-3</v>
      </c>
      <c r="E8">
        <f t="shared" si="0"/>
        <v>2.0634862575211068</v>
      </c>
    </row>
    <row r="9" spans="1:5" x14ac:dyDescent="0.2">
      <c r="A9" s="1" t="s">
        <v>12</v>
      </c>
      <c r="B9" t="s">
        <v>13</v>
      </c>
      <c r="C9">
        <v>6.9771029288286102E-3</v>
      </c>
      <c r="D9">
        <v>0.52071428600000003</v>
      </c>
      <c r="E9">
        <f t="shared" si="0"/>
        <v>0.28340050712196735</v>
      </c>
    </row>
    <row r="10" spans="1:5" x14ac:dyDescent="0.2">
      <c r="A10" s="1" t="s">
        <v>14</v>
      </c>
      <c r="B10" t="s">
        <v>13</v>
      </c>
      <c r="C10">
        <v>1.01362793193267E-2</v>
      </c>
      <c r="D10">
        <v>7.0434779999999997E-3</v>
      </c>
      <c r="E10">
        <f t="shared" si="0"/>
        <v>2.1522128375599432</v>
      </c>
    </row>
    <row r="11" spans="1:5" x14ac:dyDescent="0.2">
      <c r="A11" s="1" t="s">
        <v>15</v>
      </c>
      <c r="B11" t="s">
        <v>13</v>
      </c>
      <c r="C11">
        <v>6.9672122539336297E-3</v>
      </c>
      <c r="D11">
        <v>0.59023255799999996</v>
      </c>
      <c r="E11">
        <f t="shared" si="0"/>
        <v>0.22897683792357068</v>
      </c>
    </row>
    <row r="12" spans="1:5" x14ac:dyDescent="0.2">
      <c r="A12" s="1" t="s">
        <v>16</v>
      </c>
      <c r="B12" t="s">
        <v>13</v>
      </c>
      <c r="C12">
        <v>7.9010306176606204E-3</v>
      </c>
      <c r="D12">
        <v>0.27263414600000002</v>
      </c>
      <c r="E12">
        <f t="shared" si="0"/>
        <v>0.5644197519837858</v>
      </c>
    </row>
    <row r="13" spans="1:5" x14ac:dyDescent="0.2">
      <c r="A13" s="1" t="s">
        <v>17</v>
      </c>
      <c r="B13" t="s">
        <v>13</v>
      </c>
      <c r="C13">
        <v>1.01189248199554E-2</v>
      </c>
      <c r="D13">
        <v>0.104823529</v>
      </c>
      <c r="E13">
        <f t="shared" si="0"/>
        <v>0.97954122338340077</v>
      </c>
    </row>
    <row r="14" spans="1:5" x14ac:dyDescent="0.2">
      <c r="A14" s="1" t="s">
        <v>18</v>
      </c>
      <c r="B14" t="s">
        <v>13</v>
      </c>
      <c r="C14">
        <v>8.1751025448897896E-3</v>
      </c>
      <c r="D14">
        <v>0.25380000000000003</v>
      </c>
      <c r="E14">
        <f t="shared" si="0"/>
        <v>0.59550838224131397</v>
      </c>
    </row>
    <row r="15" spans="1:5" x14ac:dyDescent="0.2">
      <c r="A15" s="1" t="s">
        <v>19</v>
      </c>
      <c r="B15" t="s">
        <v>13</v>
      </c>
      <c r="C15">
        <v>1.7331033771642301E-2</v>
      </c>
      <c r="D15">
        <v>0.81229787200000003</v>
      </c>
      <c r="E15">
        <f t="shared" si="0"/>
        <v>9.0284684497857801E-2</v>
      </c>
    </row>
    <row r="16" spans="1:5" x14ac:dyDescent="0.2">
      <c r="A16" s="1" t="s">
        <v>20</v>
      </c>
      <c r="B16" t="s">
        <v>13</v>
      </c>
      <c r="C16">
        <v>0.48706034507524898</v>
      </c>
      <c r="D16">
        <v>5.0625000000000003E-2</v>
      </c>
      <c r="E16">
        <f t="shared" si="0"/>
        <v>1.2956349637772751</v>
      </c>
    </row>
    <row r="17" spans="1:5" x14ac:dyDescent="0.2">
      <c r="A17" s="1" t="s">
        <v>21</v>
      </c>
      <c r="B17" t="s">
        <v>13</v>
      </c>
      <c r="C17">
        <v>5.6684794477694896E-3</v>
      </c>
      <c r="D17">
        <v>0.91476000000000002</v>
      </c>
      <c r="E17">
        <f t="shared" si="0"/>
        <v>3.8692834182343379E-2</v>
      </c>
    </row>
    <row r="18" spans="1:5" x14ac:dyDescent="0.2">
      <c r="A18" s="1" t="s">
        <v>22</v>
      </c>
      <c r="B18" t="s">
        <v>13</v>
      </c>
      <c r="C18">
        <v>5.9839782384028904E-3</v>
      </c>
      <c r="D18">
        <v>0.86840816300000001</v>
      </c>
      <c r="E18">
        <f t="shared" si="0"/>
        <v>6.1276102848670508E-2</v>
      </c>
    </row>
    <row r="19" spans="1:5" x14ac:dyDescent="0.2">
      <c r="A19" s="4" t="s">
        <v>23</v>
      </c>
      <c r="B19" t="s">
        <v>24</v>
      </c>
      <c r="C19">
        <v>7.75911769288161E-3</v>
      </c>
      <c r="D19">
        <v>2.7000000000000001E-3</v>
      </c>
      <c r="E19">
        <f t="shared" si="0"/>
        <v>2.5686362358410126</v>
      </c>
    </row>
    <row r="20" spans="1:5" x14ac:dyDescent="0.2">
      <c r="A20" s="4" t="s">
        <v>25</v>
      </c>
      <c r="B20" t="s">
        <v>24</v>
      </c>
      <c r="C20">
        <v>6.0574530575449601E-3</v>
      </c>
      <c r="D20">
        <v>2.7000000000000001E-3</v>
      </c>
      <c r="E20">
        <f t="shared" si="0"/>
        <v>2.5686362358410126</v>
      </c>
    </row>
    <row r="21" spans="1:5" x14ac:dyDescent="0.2">
      <c r="A21" s="4" t="s">
        <v>26</v>
      </c>
      <c r="B21" t="s">
        <v>24</v>
      </c>
      <c r="C21">
        <v>3.0911722740424598E-3</v>
      </c>
      <c r="D21">
        <v>2.1214285999999999E-2</v>
      </c>
      <c r="E21">
        <f t="shared" si="0"/>
        <v>1.6733715805119418</v>
      </c>
    </row>
    <row r="22" spans="1:5" x14ac:dyDescent="0.2">
      <c r="A22" s="4" t="s">
        <v>27</v>
      </c>
      <c r="B22" t="s">
        <v>24</v>
      </c>
      <c r="C22">
        <v>4.1079207012877303E-3</v>
      </c>
      <c r="D22">
        <v>4.909091E-3</v>
      </c>
      <c r="E22">
        <f t="shared" si="0"/>
        <v>2.3089989172927661</v>
      </c>
    </row>
    <row r="23" spans="1:5" x14ac:dyDescent="0.2">
      <c r="A23" s="4" t="s">
        <v>28</v>
      </c>
      <c r="B23" t="s">
        <v>24</v>
      </c>
      <c r="C23">
        <v>3.3858897177504298E-3</v>
      </c>
      <c r="D23">
        <v>2.7000000000000001E-3</v>
      </c>
      <c r="E23">
        <f t="shared" si="0"/>
        <v>2.5686362358410126</v>
      </c>
    </row>
    <row r="24" spans="1:5" x14ac:dyDescent="0.2">
      <c r="A24" s="4" t="s">
        <v>29</v>
      </c>
      <c r="B24" t="s">
        <v>24</v>
      </c>
      <c r="C24">
        <v>5.4821028288601099E-3</v>
      </c>
      <c r="D24">
        <v>2.7E-2</v>
      </c>
      <c r="E24">
        <f t="shared" si="0"/>
        <v>1.5686362358410126</v>
      </c>
    </row>
    <row r="25" spans="1:5" x14ac:dyDescent="0.2">
      <c r="A25" s="4" t="s">
        <v>30</v>
      </c>
      <c r="B25" t="s">
        <v>24</v>
      </c>
      <c r="C25">
        <v>3.0634040175429801E-3</v>
      </c>
      <c r="D25">
        <v>2.7000000000000001E-3</v>
      </c>
      <c r="E25">
        <f t="shared" si="0"/>
        <v>2.5686362358410126</v>
      </c>
    </row>
    <row r="26" spans="1:5" x14ac:dyDescent="0.2">
      <c r="A26" s="4" t="s">
        <v>31</v>
      </c>
      <c r="B26" t="s">
        <v>24</v>
      </c>
      <c r="C26">
        <v>9.5618454837156095E-4</v>
      </c>
      <c r="D26">
        <v>0.81229787200000003</v>
      </c>
      <c r="E26">
        <f t="shared" si="0"/>
        <v>9.0284684497857801E-2</v>
      </c>
    </row>
    <row r="27" spans="1:5" x14ac:dyDescent="0.2">
      <c r="A27" s="4" t="s">
        <v>32</v>
      </c>
      <c r="B27" t="s">
        <v>24</v>
      </c>
      <c r="C27">
        <v>4.7775716211424599E-3</v>
      </c>
      <c r="D27">
        <v>2.7000000000000001E-3</v>
      </c>
      <c r="E27">
        <f t="shared" si="0"/>
        <v>2.5686362358410126</v>
      </c>
    </row>
    <row r="28" spans="1:5" x14ac:dyDescent="0.2">
      <c r="A28" s="4" t="s">
        <v>33</v>
      </c>
      <c r="B28" t="s">
        <v>24</v>
      </c>
      <c r="C28">
        <v>4.6918002958035799E-3</v>
      </c>
      <c r="D28">
        <v>0.1095</v>
      </c>
      <c r="E28">
        <f t="shared" si="0"/>
        <v>0.96058588082386287</v>
      </c>
    </row>
    <row r="29" spans="1:5" x14ac:dyDescent="0.2">
      <c r="A29" s="4" t="s">
        <v>34</v>
      </c>
      <c r="B29" t="s">
        <v>24</v>
      </c>
      <c r="C29">
        <v>6.2174444479902299E-3</v>
      </c>
      <c r="D29">
        <v>2.7000000000000001E-3</v>
      </c>
      <c r="E29">
        <f t="shared" si="0"/>
        <v>2.5686362358410126</v>
      </c>
    </row>
    <row r="30" spans="1:5" x14ac:dyDescent="0.2">
      <c r="A30" s="1" t="s">
        <v>35</v>
      </c>
      <c r="B30" t="s">
        <v>36</v>
      </c>
      <c r="C30">
        <v>3.0199659999999998E-3</v>
      </c>
      <c r="D30">
        <v>1.6615385E-2</v>
      </c>
      <c r="E30">
        <f t="shared" si="0"/>
        <v>1.779489591102793</v>
      </c>
    </row>
    <row r="31" spans="1:5" x14ac:dyDescent="0.2">
      <c r="A31" s="1" t="s">
        <v>37</v>
      </c>
      <c r="B31" t="s">
        <v>36</v>
      </c>
      <c r="C31">
        <v>3.840993E-3</v>
      </c>
      <c r="D31">
        <v>1</v>
      </c>
      <c r="E31">
        <f t="shared" si="0"/>
        <v>0</v>
      </c>
    </row>
    <row r="32" spans="1:5" x14ac:dyDescent="0.2">
      <c r="A32" s="1" t="s">
        <v>38</v>
      </c>
      <c r="B32" t="s">
        <v>36</v>
      </c>
      <c r="C32">
        <v>5.4197070000000002E-3</v>
      </c>
      <c r="D32">
        <v>2.7000000000000001E-3</v>
      </c>
      <c r="E32">
        <f t="shared" si="0"/>
        <v>2.5686362358410126</v>
      </c>
    </row>
    <row r="33" spans="1:5" x14ac:dyDescent="0.2">
      <c r="A33" s="1" t="s">
        <v>39</v>
      </c>
      <c r="B33" t="s">
        <v>36</v>
      </c>
      <c r="C33">
        <v>6.7323319999999997E-3</v>
      </c>
      <c r="D33">
        <v>2.7000000000000001E-3</v>
      </c>
      <c r="E33">
        <f t="shared" si="0"/>
        <v>2.5686362358410126</v>
      </c>
    </row>
    <row r="34" spans="1:5" x14ac:dyDescent="0.2">
      <c r="A34" s="1" t="s">
        <v>40</v>
      </c>
      <c r="B34" t="s">
        <v>36</v>
      </c>
      <c r="C34">
        <v>4.4267120000000002E-3</v>
      </c>
      <c r="D34">
        <v>2.7000000000000001E-3</v>
      </c>
      <c r="E34">
        <f t="shared" ref="E34:E65" si="1">-LOG10(D34)</f>
        <v>2.5686362358410126</v>
      </c>
    </row>
    <row r="35" spans="1:5" x14ac:dyDescent="0.2">
      <c r="A35" s="1" t="s">
        <v>41</v>
      </c>
      <c r="B35" t="s">
        <v>36</v>
      </c>
      <c r="C35">
        <v>3.3862689999999999E-3</v>
      </c>
      <c r="D35">
        <v>4.909091E-3</v>
      </c>
      <c r="E35">
        <f t="shared" si="1"/>
        <v>2.3089989172927661</v>
      </c>
    </row>
    <row r="36" spans="1:5" x14ac:dyDescent="0.2">
      <c r="A36" s="1" t="s">
        <v>42</v>
      </c>
      <c r="B36" t="s">
        <v>36</v>
      </c>
      <c r="C36">
        <v>2.1912189999999999E-3</v>
      </c>
      <c r="D36">
        <v>2.7000000000000001E-3</v>
      </c>
      <c r="E36">
        <f t="shared" si="1"/>
        <v>2.5686362358410126</v>
      </c>
    </row>
    <row r="37" spans="1:5" x14ac:dyDescent="0.2">
      <c r="A37" s="1" t="s">
        <v>43</v>
      </c>
      <c r="B37" t="s">
        <v>36</v>
      </c>
      <c r="C37">
        <v>2.854859E-3</v>
      </c>
      <c r="D37">
        <v>0.14210526300000001</v>
      </c>
      <c r="E37">
        <f t="shared" si="1"/>
        <v>0.84738983727639106</v>
      </c>
    </row>
    <row r="38" spans="1:5" x14ac:dyDescent="0.2">
      <c r="A38" s="1" t="s">
        <v>44</v>
      </c>
      <c r="B38" t="s">
        <v>36</v>
      </c>
      <c r="C38">
        <v>5.5677039999999997E-3</v>
      </c>
      <c r="D38">
        <v>2.7000000000000001E-3</v>
      </c>
      <c r="E38">
        <f t="shared" si="1"/>
        <v>2.5686362358410126</v>
      </c>
    </row>
    <row r="39" spans="1:5" x14ac:dyDescent="0.2">
      <c r="A39" s="1" t="s">
        <v>45</v>
      </c>
      <c r="B39" t="s">
        <v>36</v>
      </c>
      <c r="C39">
        <v>3.7194429999999998E-3</v>
      </c>
      <c r="D39">
        <v>8.6400000000000001E-3</v>
      </c>
      <c r="E39">
        <f t="shared" si="1"/>
        <v>2.0634862575211068</v>
      </c>
    </row>
    <row r="40" spans="1:5" x14ac:dyDescent="0.2">
      <c r="A40" s="1" t="s">
        <v>46</v>
      </c>
      <c r="B40" t="s">
        <v>36</v>
      </c>
      <c r="C40">
        <v>2.8273249999999999E-3</v>
      </c>
      <c r="D40">
        <v>2.7000000000000001E-3</v>
      </c>
      <c r="E40">
        <f t="shared" si="1"/>
        <v>2.5686362358410126</v>
      </c>
    </row>
    <row r="41" spans="1:5" x14ac:dyDescent="0.2">
      <c r="A41" s="1" t="s">
        <v>47</v>
      </c>
      <c r="B41" t="s">
        <v>36</v>
      </c>
      <c r="C41">
        <v>4.9920260000000001E-3</v>
      </c>
      <c r="D41">
        <v>0.86840816300000001</v>
      </c>
      <c r="E41">
        <f t="shared" si="1"/>
        <v>6.1276102848670508E-2</v>
      </c>
    </row>
    <row r="42" spans="1:5" x14ac:dyDescent="0.2">
      <c r="A42" s="1" t="s">
        <v>48</v>
      </c>
      <c r="B42" t="s">
        <v>36</v>
      </c>
      <c r="C42">
        <v>8.1417569999999995E-3</v>
      </c>
      <c r="D42">
        <v>2.7000000000000001E-3</v>
      </c>
      <c r="E42">
        <f t="shared" si="1"/>
        <v>2.5686362358410126</v>
      </c>
    </row>
    <row r="43" spans="1:5" x14ac:dyDescent="0.2">
      <c r="A43" s="1" t="s">
        <v>49</v>
      </c>
      <c r="B43" t="s">
        <v>36</v>
      </c>
      <c r="C43">
        <v>4.4435280000000004E-3</v>
      </c>
      <c r="D43">
        <v>2.7E-2</v>
      </c>
      <c r="E43">
        <f t="shared" si="1"/>
        <v>1.5686362358410126</v>
      </c>
    </row>
    <row r="44" spans="1:5" x14ac:dyDescent="0.2">
      <c r="A44" s="1" t="s">
        <v>50</v>
      </c>
      <c r="B44" t="s">
        <v>36</v>
      </c>
      <c r="C44">
        <v>2.5226620000000002E-3</v>
      </c>
      <c r="D44">
        <v>3.4838710000000002E-2</v>
      </c>
      <c r="E44">
        <f t="shared" si="1"/>
        <v>1.4579379343260779</v>
      </c>
    </row>
    <row r="45" spans="1:5" x14ac:dyDescent="0.2">
      <c r="A45" s="1" t="s">
        <v>51</v>
      </c>
      <c r="B45" t="s">
        <v>36</v>
      </c>
      <c r="C45">
        <v>2.2969399999999999E-3</v>
      </c>
      <c r="D45">
        <v>0.196615385</v>
      </c>
      <c r="E45">
        <f t="shared" si="1"/>
        <v>0.70638250197091534</v>
      </c>
    </row>
    <row r="46" spans="1:5" x14ac:dyDescent="0.2">
      <c r="A46" s="1" t="s">
        <v>52</v>
      </c>
      <c r="B46" t="s">
        <v>36</v>
      </c>
      <c r="C46">
        <v>6.1055420000000003E-3</v>
      </c>
      <c r="D46">
        <v>2.7000000000000001E-3</v>
      </c>
      <c r="E46">
        <f t="shared" si="1"/>
        <v>2.5686362358410126</v>
      </c>
    </row>
    <row r="47" spans="1:5" x14ac:dyDescent="0.2">
      <c r="A47" s="1" t="s">
        <v>53</v>
      </c>
      <c r="B47" t="s">
        <v>36</v>
      </c>
      <c r="C47">
        <v>4.5738849999999998E-3</v>
      </c>
      <c r="D47">
        <v>2.7000000000000001E-3</v>
      </c>
      <c r="E47">
        <f t="shared" si="1"/>
        <v>2.5686362358410126</v>
      </c>
    </row>
    <row r="48" spans="1:5" x14ac:dyDescent="0.2">
      <c r="A48" s="1" t="s">
        <v>54</v>
      </c>
      <c r="B48" t="s">
        <v>36</v>
      </c>
      <c r="C48">
        <v>3.3893019999999999E-3</v>
      </c>
      <c r="D48">
        <v>2.7000000000000001E-3</v>
      </c>
      <c r="E48">
        <f t="shared" si="1"/>
        <v>2.5686362358410126</v>
      </c>
    </row>
    <row r="49" spans="1:5" x14ac:dyDescent="0.2">
      <c r="A49" s="1" t="s">
        <v>55</v>
      </c>
      <c r="B49" t="s">
        <v>36</v>
      </c>
      <c r="C49">
        <v>3.8571220000000002E-3</v>
      </c>
      <c r="D49">
        <v>1.7999999999999999E-2</v>
      </c>
      <c r="E49">
        <f t="shared" si="1"/>
        <v>1.744727494896694</v>
      </c>
    </row>
    <row r="50" spans="1:5" x14ac:dyDescent="0.2">
      <c r="A50" s="1" t="s">
        <v>56</v>
      </c>
      <c r="B50" t="s">
        <v>36</v>
      </c>
      <c r="C50">
        <v>5.0448539999999997E-3</v>
      </c>
      <c r="D50">
        <v>2.7000000000000001E-3</v>
      </c>
      <c r="E50">
        <f t="shared" si="1"/>
        <v>2.5686362358410126</v>
      </c>
    </row>
    <row r="51" spans="1:5" x14ac:dyDescent="0.2">
      <c r="A51" s="1" t="s">
        <v>57</v>
      </c>
      <c r="B51" t="s">
        <v>36</v>
      </c>
      <c r="C51">
        <v>1.745216E-3</v>
      </c>
      <c r="D51">
        <v>0.10309090899999999</v>
      </c>
      <c r="E51">
        <f t="shared" si="1"/>
        <v>0.98677963098431298</v>
      </c>
    </row>
    <row r="52" spans="1:5" x14ac:dyDescent="0.2">
      <c r="A52" s="1" t="s">
        <v>58</v>
      </c>
      <c r="B52" t="s">
        <v>36</v>
      </c>
      <c r="C52">
        <v>1.098407E-3</v>
      </c>
      <c r="D52">
        <v>0.1095</v>
      </c>
      <c r="E52">
        <f t="shared" si="1"/>
        <v>0.96058588082386287</v>
      </c>
    </row>
    <row r="53" spans="1:5" x14ac:dyDescent="0.2">
      <c r="A53" s="1" t="s">
        <v>59</v>
      </c>
      <c r="B53" t="s">
        <v>36</v>
      </c>
      <c r="C53">
        <v>4.9823189999999998E-3</v>
      </c>
      <c r="D53">
        <v>0.124054054</v>
      </c>
      <c r="E53">
        <f t="shared" si="1"/>
        <v>0.90638903871896881</v>
      </c>
    </row>
    <row r="54" spans="1:5" x14ac:dyDescent="0.2">
      <c r="A54" s="1" t="s">
        <v>60</v>
      </c>
      <c r="B54" t="s">
        <v>61</v>
      </c>
      <c r="C54">
        <v>1.1416260848666201E-2</v>
      </c>
      <c r="D54">
        <v>2.7000000000000001E-3</v>
      </c>
      <c r="E54">
        <f t="shared" si="1"/>
        <v>2.5686362358410126</v>
      </c>
    </row>
    <row r="55" spans="1:5" x14ac:dyDescent="0.2">
      <c r="A55" s="1" t="s">
        <v>62</v>
      </c>
      <c r="B55" t="s">
        <v>61</v>
      </c>
      <c r="C55">
        <v>8.0598411919164392E-3</v>
      </c>
      <c r="D55">
        <v>2.7000000000000001E-3</v>
      </c>
      <c r="E55">
        <f t="shared" si="1"/>
        <v>2.5686362358410126</v>
      </c>
    </row>
  </sheetData>
  <conditionalFormatting sqref="A31:A53">
    <cfRule type="containsText" dxfId="0" priority="1" operator="containsText" text="42">
      <formula>NOT(ISERROR(SEARCH("42",A31)))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2025-09-17T21:35:49Z</dcterms:created>
  <dcterms:modified xsi:type="dcterms:W3CDTF">2025-09-19T19:52:39Z</dcterms:modified>
</cp:coreProperties>
</file>