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NEC/Manuscript/Figures_drop/Figure 2/Fig2C_extension/"/>
    </mc:Choice>
  </mc:AlternateContent>
  <xr:revisionPtr revIDLastSave="0" documentId="13_ncr:1_{C5C202B7-0411-C844-9FC5-448A1B15C61D}" xr6:coauthVersionLast="47" xr6:coauthVersionMax="47" xr10:uidLastSave="{00000000-0000-0000-0000-000000000000}"/>
  <bookViews>
    <workbookView xWindow="12140" yWindow="500" windowWidth="21280" windowHeight="21100" firstSheet="2" activeTab="8" xr2:uid="{E9B3FF16-A48E-4648-9250-18A98983B843}"/>
  </bookViews>
  <sheets>
    <sheet name="RT" sheetId="1" r:id="rId1"/>
    <sheet name="Sheet1" sheetId="2" r:id="rId2"/>
    <sheet name="Drop" sheetId="3" r:id="rId3"/>
    <sheet name="Drop_NEC" sheetId="4" r:id="rId4"/>
    <sheet name="Drop_NEC_early" sheetId="8" r:id="rId5"/>
    <sheet name="Drop_NEC_late" sheetId="9" r:id="rId6"/>
    <sheet name="Drop_metadata_vOTU" sheetId="5" r:id="rId7"/>
    <sheet name="Drop_metadata_phage_HostGenus" sheetId="6" r:id="rId8"/>
    <sheet name="SUM" sheetId="10" r:id="rId9"/>
  </sheets>
  <definedNames>
    <definedName name="_xlnm._FilterDatabase" localSheetId="2" hidden="1">Drop!$C$1:$C$85</definedName>
    <definedName name="_xlnm._FilterDatabase" localSheetId="8" hidden="1">SUM!$D$1:$E$55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0" l="1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G2" i="10"/>
  <c r="F2" i="10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2" i="5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2" i="5"/>
  <c r="F4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2" i="4"/>
</calcChain>
</file>

<file path=xl/sharedStrings.xml><?xml version="1.0" encoding="utf-8"?>
<sst xmlns="http://schemas.openxmlformats.org/spreadsheetml/2006/main" count="2344" uniqueCount="233">
  <si>
    <t>Variable</t>
  </si>
  <si>
    <t>Df</t>
  </si>
  <si>
    <t>SumsOfSqs</t>
  </si>
  <si>
    <t>MeanSqs</t>
  </si>
  <si>
    <t>F.Model</t>
  </si>
  <si>
    <t>R2</t>
  </si>
  <si>
    <t>Pr(&gt;F)</t>
  </si>
  <si>
    <t>*</t>
  </si>
  <si>
    <t>.</t>
  </si>
  <si>
    <t>P.adjust</t>
  </si>
  <si>
    <t>Patient_ID</t>
  </si>
  <si>
    <t>***</t>
  </si>
  <si>
    <t>GA_birth</t>
  </si>
  <si>
    <t>Birthweight</t>
  </si>
  <si>
    <t>failed_pregnancies</t>
  </si>
  <si>
    <t>cong_anomly</t>
  </si>
  <si>
    <t>enteral_first_DOL</t>
  </si>
  <si>
    <t>chronic_lung_dis</t>
  </si>
  <si>
    <t>Gender</t>
  </si>
  <si>
    <t>gravida</t>
  </si>
  <si>
    <t>hifi</t>
  </si>
  <si>
    <t>inf</t>
  </si>
  <si>
    <t>intraventricular_hemorrhage</t>
  </si>
  <si>
    <t>mat_age</t>
  </si>
  <si>
    <t>mat_chorio</t>
  </si>
  <si>
    <t>mat_diabetes</t>
  </si>
  <si>
    <t>mat_htn</t>
  </si>
  <si>
    <t>mat_inpatient_meds</t>
  </si>
  <si>
    <t>mat_preeclampsia</t>
  </si>
  <si>
    <t>mat_steroids</t>
  </si>
  <si>
    <t>multiple</t>
  </si>
  <si>
    <t>para</t>
  </si>
  <si>
    <t>pda</t>
  </si>
  <si>
    <t>route</t>
  </si>
  <si>
    <t>small_for_GA</t>
  </si>
  <si>
    <t>surfactant</t>
  </si>
  <si>
    <t>tracheal_intubate</t>
  </si>
  <si>
    <t>mat_alcohol</t>
  </si>
  <si>
    <t>Maternal_race</t>
  </si>
  <si>
    <t>mat_ppbmi</t>
  </si>
  <si>
    <t>ABX_recent</t>
  </si>
  <si>
    <t>AB_recent_sum</t>
  </si>
  <si>
    <t>Abx_cumulative</t>
  </si>
  <si>
    <t>ANTIM_cumulative</t>
  </si>
  <si>
    <t>feeding_current</t>
  </si>
  <si>
    <t>formula_cumulative</t>
  </si>
  <si>
    <t>milk_current</t>
  </si>
  <si>
    <t>Recent_1st_gen_cephalosporin</t>
  </si>
  <si>
    <t>Recent_2nd_gen_cephalosporin</t>
  </si>
  <si>
    <t>Recent_3rd_gen_cephalosporin</t>
  </si>
  <si>
    <t>Recent_4th_gen_cephalosporin</t>
  </si>
  <si>
    <t>**</t>
  </si>
  <si>
    <t>Recent_amingoglycoside</t>
  </si>
  <si>
    <t>Other_ANTIM_recent</t>
  </si>
  <si>
    <t>Other_ANTIM_recent_sum</t>
  </si>
  <si>
    <t>Recent_carbapenem</t>
  </si>
  <si>
    <t>Recent_glycopeptide</t>
  </si>
  <si>
    <t>Recent_lincosamide</t>
  </si>
  <si>
    <t>Recent_macrolide</t>
  </si>
  <si>
    <t>Recent_penicillin</t>
  </si>
  <si>
    <t>NEC</t>
  </si>
  <si>
    <t>-</t>
  </si>
  <si>
    <t>Day_before_onset: 0</t>
  </si>
  <si>
    <t>Day_before_onset: 1-7</t>
  </si>
  <si>
    <t>Day_before_onset: 8-15</t>
  </si>
  <si>
    <t>Day_before_onset: 16-30</t>
  </si>
  <si>
    <t>Day_before_onset: 31-45</t>
  </si>
  <si>
    <t>Day_before_onset: 46-</t>
  </si>
  <si>
    <t>RT bacteria all RA</t>
  </si>
  <si>
    <t>Late_onset</t>
  </si>
  <si>
    <t>Early_onset</t>
  </si>
  <si>
    <t>NEC (Not blocked by patient)</t>
  </si>
  <si>
    <t>Day_before_onset &lt;3</t>
  </si>
  <si>
    <t>Day_before_onset &lt;7</t>
  </si>
  <si>
    <t>Early Day_before_onset: 0</t>
  </si>
  <si>
    <t>Early Day_before_onset &lt;3</t>
  </si>
  <si>
    <t>Early Day_before_onset &lt;7</t>
  </si>
  <si>
    <t>Late Day_before_onset: 0</t>
  </si>
  <si>
    <t>Late Day_before_onset &lt;3</t>
  </si>
  <si>
    <t>Late Day_before_onset &lt;7</t>
  </si>
  <si>
    <t>DOL 1-10</t>
  </si>
  <si>
    <t>DOL 11-20</t>
  </si>
  <si>
    <t>DOL 21-30</t>
  </si>
  <si>
    <t>DOL 31-40</t>
  </si>
  <si>
    <t>KZ phage VC drop RA</t>
  </si>
  <si>
    <t>DOL 41-50</t>
  </si>
  <si>
    <t>KZ phage Family drop RA</t>
  </si>
  <si>
    <t>KZ bacteria Species drop RA</t>
  </si>
  <si>
    <t>KZ bacteria Genus drop RA</t>
  </si>
  <si>
    <t>KZ phage Pop drop RA</t>
  </si>
  <si>
    <t>KZ phage Host Genus drop RA</t>
  </si>
  <si>
    <t>KZ phage Gene drop RA</t>
  </si>
  <si>
    <t>KZ bacteria Genus all RA</t>
  </si>
  <si>
    <t>KZ phage Pop drop Bi</t>
  </si>
  <si>
    <t>KZ phage Host Genus drop Bi</t>
  </si>
  <si>
    <t>KZ phage VC drop Bi</t>
  </si>
  <si>
    <t>KZ phage Family drop Bi</t>
  </si>
  <si>
    <t>KZ phage Gene drop Bi</t>
  </si>
  <si>
    <t>KZ bacteria Species all RA</t>
  </si>
  <si>
    <t>DOL</t>
  </si>
  <si>
    <t>Site</t>
  </si>
  <si>
    <t>milk_cumulive</t>
  </si>
  <si>
    <t>Vitamin_A_recent</t>
  </si>
  <si>
    <t>Surfactant_recent</t>
  </si>
  <si>
    <t>Sodium_chloride_recent</t>
  </si>
  <si>
    <t>Sodium_bicarbonate_recent</t>
  </si>
  <si>
    <t>Phenobarbitol_recent</t>
  </si>
  <si>
    <t>Multi_vitamin_no_iron_recent</t>
  </si>
  <si>
    <t>Multi_vitamin_with_iron_recent</t>
  </si>
  <si>
    <t>Morphine_recent</t>
  </si>
  <si>
    <t>Midazolam_recent</t>
  </si>
  <si>
    <t>Lasix_recent</t>
  </si>
  <si>
    <t>Iron_recent</t>
  </si>
  <si>
    <t>Insulin_recent</t>
  </si>
  <si>
    <t>Indomethacin_recent</t>
  </si>
  <si>
    <t>Hydrocortisone_recent</t>
  </si>
  <si>
    <t>Fentanyl_recent</t>
  </si>
  <si>
    <t>Famotidine_recent</t>
  </si>
  <si>
    <t>Dopamine_recent</t>
  </si>
  <si>
    <t>Dexamethasone_recent</t>
  </si>
  <si>
    <t>Cholecalciferol_recent</t>
  </si>
  <si>
    <t>Chlorathiazide_recent</t>
  </si>
  <si>
    <t>Calcium_gluconate_recent</t>
  </si>
  <si>
    <t>Caffeine_recent</t>
  </si>
  <si>
    <t>Acetaminophen_recent</t>
  </si>
  <si>
    <t>NEC_all</t>
  </si>
  <si>
    <t>mat_out_abx</t>
  </si>
  <si>
    <t>mat_in_abx</t>
  </si>
  <si>
    <t>mat_in_meds</t>
  </si>
  <si>
    <t>Potassium_chloride_recent</t>
  </si>
  <si>
    <t>KZ vOTU drop RA</t>
  </si>
  <si>
    <t>KZ bacteria Species all Bi</t>
  </si>
  <si>
    <t>KZ bacteria Genus all Bi</t>
  </si>
  <si>
    <t>KZ vOTU drop Bi</t>
  </si>
  <si>
    <t>KZ phage Host Species drop RA</t>
  </si>
  <si>
    <t>KZ phage Host Species drop Bi</t>
  </si>
  <si>
    <t>Sample</t>
  </si>
  <si>
    <t>DBO7</t>
  </si>
  <si>
    <t>All</t>
  </si>
  <si>
    <t>Bac_Species</t>
  </si>
  <si>
    <t>P_value</t>
  </si>
  <si>
    <t>Type</t>
  </si>
  <si>
    <t>RA</t>
  </si>
  <si>
    <t>BI</t>
  </si>
  <si>
    <t>Bac_Genus</t>
  </si>
  <si>
    <t>vOTU</t>
  </si>
  <si>
    <t>VC</t>
  </si>
  <si>
    <t>Phage_Host_Species</t>
  </si>
  <si>
    <t>Phage_Host_Genus</t>
  </si>
  <si>
    <t>Target</t>
  </si>
  <si>
    <t>Sig_label</t>
  </si>
  <si>
    <t>-LOG10_P_value</t>
  </si>
  <si>
    <t>zDBO0</t>
  </si>
  <si>
    <t>yDBO3</t>
  </si>
  <si>
    <t>Group</t>
  </si>
  <si>
    <t>Baseline</t>
  </si>
  <si>
    <t>Diet</t>
  </si>
  <si>
    <t>Antibiotics</t>
  </si>
  <si>
    <t>Maternal</t>
  </si>
  <si>
    <t>Medications</t>
  </si>
  <si>
    <t>KZ bacteria Species drop RA meta4</t>
  </si>
  <si>
    <t>KZ bacteria Species drop Bi meta4</t>
  </si>
  <si>
    <t>KZ bacteria Genus drop RA meta4</t>
  </si>
  <si>
    <t>KZ bacteria Genus drop Bi meta4</t>
  </si>
  <si>
    <t>Early</t>
  </si>
  <si>
    <t>Late</t>
  </si>
  <si>
    <t>xDBO7</t>
  </si>
  <si>
    <t>Day_before_onset 1-2</t>
  </si>
  <si>
    <t>Day_before_onset 1-7</t>
  </si>
  <si>
    <t>Day_before_onset 1-4</t>
  </si>
  <si>
    <t>Day_before_onset 1-6</t>
  </si>
  <si>
    <t>Day_before_onset 1-8</t>
  </si>
  <si>
    <t>Stage</t>
  </si>
  <si>
    <t>Onset 21-40 (n=808 - 65)</t>
  </si>
  <si>
    <t>Onset 1-20 (n=199 - 30)</t>
  </si>
  <si>
    <t>Onset 41-60 (n=538 - 24)</t>
  </si>
  <si>
    <t>Onset &gt;60 (n=255 - 9)</t>
  </si>
  <si>
    <t>Onset 11-20 (n=199 - 30)</t>
  </si>
  <si>
    <t>Onset 21-30 (n=454 - 44)</t>
  </si>
  <si>
    <t>Onset 31-40 (n=354 - 21)</t>
  </si>
  <si>
    <t>Onset 41-50 (n=74 - 6)</t>
  </si>
  <si>
    <t>Onset &gt;70 (n=255 - 9)</t>
  </si>
  <si>
    <t>Onset 51-60 (n=464 - 18)</t>
  </si>
  <si>
    <t>Onset 61-70 (n=154 - 6)</t>
  </si>
  <si>
    <t>Day_before_onset 0 (n=85 - 84) 378_5/6</t>
  </si>
  <si>
    <t xml:space="preserve">Day_before_onset 2 (n=91 - 91) </t>
  </si>
  <si>
    <t xml:space="preserve">Day_before_onset 3 (n=89 - 89) </t>
  </si>
  <si>
    <t xml:space="preserve">Day_before_onset 4 (n=90 - 90) </t>
  </si>
  <si>
    <t xml:space="preserve">Day_before_onset 5 (n=80 - 80) </t>
  </si>
  <si>
    <t xml:space="preserve">Day_before_onset 6 (n=86 - 86) </t>
  </si>
  <si>
    <t xml:space="preserve">Day_before_onset 7 (n=85 - 85) </t>
  </si>
  <si>
    <t>Onset 1-20 DBO=0 (n=21 - 21)</t>
  </si>
  <si>
    <t>Onset 1-20 DBO=1 (n=22 - 22)</t>
  </si>
  <si>
    <t>Onset 1-20 DBO=2 (n=21 - 21)</t>
  </si>
  <si>
    <t>Onset 1-20 DBO=3 (n=22 - 22)</t>
  </si>
  <si>
    <t>Onset 1-20 DBO=4 (n=21 - 21)</t>
  </si>
  <si>
    <t>Onset 1-20 DBO=5 (n=13 - 13)</t>
  </si>
  <si>
    <t>Onset 21-40 DBO=5 (n=48 - 48)</t>
  </si>
  <si>
    <t>Onset 21-40 DBO=0 (n=45 - 45)</t>
  </si>
  <si>
    <t>Onset 21-40 DBO=1 (n=53 - 52)</t>
  </si>
  <si>
    <t>Onset 21-40 DBO=2 (n=48 - 48)</t>
  </si>
  <si>
    <t>Onset 21-40 DBO=4 (n=48 - 48)</t>
  </si>
  <si>
    <t>Onset 21-40 DBO=3 (n=47 - 47)</t>
  </si>
  <si>
    <t>Onset 41-60 DBO=0 (n=15 - 15)</t>
  </si>
  <si>
    <t>Onset 41-60 DBO=3 (n=15 - 15)</t>
  </si>
  <si>
    <t>Onset 41-60 DBO=2 (n=20 - 20)</t>
  </si>
  <si>
    <t>Onset 41-60 DBO=1 (n=16 - 16)</t>
  </si>
  <si>
    <t>Onset 41-60 DBO=4 (n=19 - 19)</t>
  </si>
  <si>
    <t>Onset 41-60 DBO=5 (n=16 - 16)</t>
  </si>
  <si>
    <t>Onset 41-60 DBO=6 (n=16 - 16)</t>
  </si>
  <si>
    <t>Onset 41-60 DBO=7 (n=17 - 17)</t>
  </si>
  <si>
    <t>Onset 41-60 DBO=8 (n=16 - 16)</t>
  </si>
  <si>
    <t>Onset 41-60 DBO=9 (n=14 - 14)</t>
  </si>
  <si>
    <t>Onset 41-60 DBO=10 (n=16 - 16)</t>
  </si>
  <si>
    <t>Onset 41-60 DBO=14 (n=17 - 17)</t>
  </si>
  <si>
    <t>Onset 41-60 DBO=15 (n=12 - 12)</t>
  </si>
  <si>
    <t>Onset 41-60 DBO=16 (n=17 - 17)</t>
  </si>
  <si>
    <t>Onset 41-60 DBO=11 (n=14 - 14)</t>
  </si>
  <si>
    <t>Onset 41-60 DBO=12 (n=16 - 16)</t>
  </si>
  <si>
    <t>Onset 41-60 DBO=13 (n=14 - 14)</t>
  </si>
  <si>
    <t>Onset &gt;60 DOB=0 (n=4 - 4)</t>
  </si>
  <si>
    <t>Onset &gt;60 DOB=1 (n=3 - 3)</t>
  </si>
  <si>
    <t>Onset &gt;60 DOB=2 (n=2 - 2)</t>
  </si>
  <si>
    <t>Onset &gt;60 DOB=3 (n=5 - 5)</t>
  </si>
  <si>
    <t>Onset &gt;60 DOB=4 (n=2 - 2)</t>
  </si>
  <si>
    <t>Onset &gt;60 DOB=5 (n=3 - 3)</t>
  </si>
  <si>
    <t>Onset &gt;60 DOB=6 (n=6 - 6)</t>
  </si>
  <si>
    <t xml:space="preserve">Day_before_onset 1 (n=94 - 93) </t>
  </si>
  <si>
    <t>BH P_value</t>
  </si>
  <si>
    <t>BH P_value_vOTU</t>
  </si>
  <si>
    <t>BH P_value_phage_hostGenus</t>
  </si>
  <si>
    <t>-LOG10_BH P_value_vOTU</t>
  </si>
  <si>
    <t>-LOG10_BH P_value_phageHost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</si>
</sst>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0" borderId="0" xfId="0" applyAlignment="1">
      <alignment horizontal="center"/>
    </xf>
    <xf numFmtId="0" fontId="0" fillId="4" borderId="4" xfId="0" applyFill="1" applyBorder="1"/>
    <xf numFmtId="0" fontId="0" fillId="4" borderId="5" xfId="0" applyFill="1" applyBorder="1"/>
    <xf numFmtId="0" fontId="0" fillId="4" borderId="0" xfId="0" applyFill="1"/>
    <xf numFmtId="0" fontId="0" fillId="5" borderId="0" xfId="0" applyFill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4" borderId="9" xfId="0" applyFill="1" applyBorder="1" applyAlignment="1">
      <alignment horizontal="left" vertical="center"/>
    </xf>
    <xf numFmtId="0" fontId="0" fillId="4" borderId="10" xfId="0" applyFill="1" applyBorder="1"/>
    <xf numFmtId="0" fontId="0" fillId="4" borderId="9" xfId="0" applyFill="1" applyBorder="1"/>
    <xf numFmtId="0" fontId="0" fillId="4" borderId="11" xfId="0" applyFill="1" applyBorder="1"/>
    <xf numFmtId="0" fontId="0" fillId="4" borderId="2" xfId="0" applyFill="1" applyBorder="1"/>
    <xf numFmtId="0" fontId="0" fillId="4" borderId="1" xfId="0" applyFill="1" applyBorder="1"/>
    <xf numFmtId="0" fontId="0" fillId="4" borderId="3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2" fillId="5" borderId="4" xfId="0" applyFont="1" applyFill="1" applyBorder="1"/>
    <xf numFmtId="0" fontId="2" fillId="5" borderId="5" xfId="0" applyFont="1" applyFill="1" applyBorder="1"/>
    <xf numFmtId="0" fontId="2" fillId="5" borderId="2" xfId="0" applyFont="1" applyFill="1" applyBorder="1"/>
    <xf numFmtId="0" fontId="2" fillId="5" borderId="1" xfId="0" applyFont="1" applyFill="1" applyBorder="1"/>
    <xf numFmtId="0" fontId="2" fillId="5" borderId="3" xfId="0" applyFont="1" applyFill="1" applyBorder="1"/>
    <xf numFmtId="0" fontId="2" fillId="5" borderId="0" xfId="0" applyFont="1" applyFill="1"/>
    <xf numFmtId="0" fontId="2" fillId="5" borderId="9" xfId="0" applyFont="1" applyFill="1" applyBorder="1"/>
    <xf numFmtId="0" fontId="2" fillId="5" borderId="10" xfId="0" applyFont="1" applyFill="1" applyBorder="1"/>
    <xf numFmtId="0" fontId="2" fillId="5" borderId="11" xfId="0" applyFont="1" applyFill="1" applyBorder="1"/>
    <xf numFmtId="0" fontId="2" fillId="6" borderId="9" xfId="0" applyFont="1" applyFill="1" applyBorder="1"/>
    <xf numFmtId="0" fontId="0" fillId="5" borderId="4" xfId="0" applyFill="1" applyBorder="1"/>
    <xf numFmtId="0" fontId="0" fillId="5" borderId="5" xfId="0" applyFill="1" applyBorder="1"/>
    <xf numFmtId="0" fontId="0" fillId="7" borderId="0" xfId="0" applyFill="1"/>
    <xf numFmtId="0" fontId="0" fillId="7" borderId="4" xfId="0" applyFill="1" applyBorder="1"/>
    <xf numFmtId="0" fontId="0" fillId="7" borderId="5" xfId="0" applyFill="1" applyBorder="1"/>
    <xf numFmtId="0" fontId="2" fillId="8" borderId="9" xfId="0" applyFont="1" applyFill="1" applyBorder="1"/>
    <xf numFmtId="0" fontId="2" fillId="8" borderId="6" xfId="0" applyFont="1" applyFill="1" applyBorder="1"/>
    <xf numFmtId="0" fontId="2" fillId="8" borderId="0" xfId="0" applyFont="1" applyFill="1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3" fillId="3" borderId="4" xfId="0" applyFont="1" applyFill="1" applyBorder="1"/>
    <xf numFmtId="0" fontId="3" fillId="3" borderId="0" xfId="0" applyFont="1" applyFill="1"/>
    <xf numFmtId="0" fontId="3" fillId="3" borderId="5" xfId="0" applyFont="1" applyFill="1" applyBorder="1"/>
    <xf numFmtId="0" fontId="0" fillId="0" borderId="12" xfId="0" applyBorder="1"/>
    <xf numFmtId="49" fontId="0" fillId="0" borderId="12" xfId="0" applyNumberFormat="1" applyBorder="1"/>
    <xf numFmtId="0" fontId="0" fillId="0" borderId="12" xfId="0" applyBorder="1" applyAlignment="1">
      <alignment horizontal="left" vertical="center"/>
    </xf>
    <xf numFmtId="0" fontId="2" fillId="0" borderId="12" xfId="0" applyFont="1" applyBorder="1"/>
    <xf numFmtId="0" fontId="0" fillId="0" borderId="12" xfId="0" applyBorder="1" applyAlignment="1">
      <alignment horizontal="left"/>
    </xf>
    <xf numFmtId="0" fontId="2" fillId="0" borderId="12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2" borderId="7" xfId="0" applyFill="1" applyBorder="1"/>
    <xf numFmtId="0" fontId="0" fillId="2" borderId="6" xfId="0" applyFill="1" applyBorder="1"/>
    <xf numFmtId="0" fontId="0" fillId="2" borderId="8" xfId="0" applyFill="1" applyBorder="1"/>
    <xf numFmtId="0" fontId="1" fillId="9" borderId="0" xfId="0" applyFont="1" applyFill="1"/>
    <xf numFmtId="0" fontId="0" fillId="10" borderId="12" xfId="0" applyFill="1" applyBorder="1" applyAlignment="1">
      <alignment horizontal="left" vertical="center"/>
    </xf>
    <xf numFmtId="0" fontId="0" fillId="10" borderId="12" xfId="0" applyFill="1" applyBorder="1"/>
    <xf numFmtId="0" fontId="2" fillId="10" borderId="12" xfId="0" applyFont="1" applyFill="1" applyBorder="1" applyAlignment="1">
      <alignment horizontal="left"/>
    </xf>
    <xf numFmtId="0" fontId="0" fillId="10" borderId="12" xfId="0" applyFill="1" applyBorder="1" applyAlignment="1">
      <alignment horizontal="left"/>
    </xf>
    <xf numFmtId="0" fontId="0" fillId="11" borderId="12" xfId="0" applyFill="1" applyBorder="1" applyAlignment="1">
      <alignment horizontal="left"/>
    </xf>
    <xf numFmtId="0" fontId="0" fillId="11" borderId="12" xfId="0" applyFill="1" applyBorder="1"/>
    <xf numFmtId="0" fontId="2" fillId="11" borderId="12" xfId="0" applyFont="1" applyFill="1" applyBorder="1" applyAlignment="1">
      <alignment horizontal="left"/>
    </xf>
    <xf numFmtId="0" fontId="0" fillId="12" borderId="12" xfId="0" applyFill="1" applyBorder="1" applyAlignment="1">
      <alignment horizontal="left"/>
    </xf>
    <xf numFmtId="0" fontId="0" fillId="12" borderId="12" xfId="0" applyFill="1" applyBorder="1"/>
    <xf numFmtId="0" fontId="2" fillId="12" borderId="12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865D-E2B5-B449-87CA-F8C219926EE0}">
  <dimension ref="A1:I52"/>
  <sheetViews>
    <sheetView topLeftCell="A18" zoomScale="110" zoomScaleNormal="110" workbookViewId="0">
      <selection activeCell="H52" sqref="G2:H52"/>
    </sheetView>
  </sheetViews>
  <sheetFormatPr baseColWidth="10" defaultRowHeight="16" x14ac:dyDescent="0.2"/>
  <cols>
    <col min="1" max="1" width="21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9" x14ac:dyDescent="0.2">
      <c r="A2" t="s">
        <v>12</v>
      </c>
      <c r="B2">
        <v>1</v>
      </c>
      <c r="C2">
        <v>3.61</v>
      </c>
      <c r="D2">
        <v>3.6116999999999999</v>
      </c>
      <c r="E2">
        <v>9.3881999999999994</v>
      </c>
      <c r="F2">
        <v>4.45E-3</v>
      </c>
      <c r="G2">
        <v>0.68600000000000005</v>
      </c>
      <c r="I2" s="1"/>
    </row>
    <row r="3" spans="1:9" x14ac:dyDescent="0.2">
      <c r="A3" t="s">
        <v>13</v>
      </c>
      <c r="B3">
        <v>1</v>
      </c>
      <c r="C3">
        <v>4.3899999999999997</v>
      </c>
      <c r="D3">
        <v>4.3878000000000004</v>
      </c>
      <c r="E3">
        <v>11.416</v>
      </c>
      <c r="F3">
        <v>5.4000000000000003E-3</v>
      </c>
      <c r="G3">
        <v>0.50600000000000001</v>
      </c>
      <c r="I3" s="1"/>
    </row>
    <row r="4" spans="1:9" x14ac:dyDescent="0.2">
      <c r="A4" t="s">
        <v>14</v>
      </c>
      <c r="B4">
        <v>1</v>
      </c>
      <c r="C4">
        <v>3.49</v>
      </c>
      <c r="D4">
        <v>3.4882</v>
      </c>
      <c r="E4">
        <v>9.0657999999999994</v>
      </c>
      <c r="F4">
        <v>4.3E-3</v>
      </c>
      <c r="G4">
        <v>0.72</v>
      </c>
      <c r="I4" s="1"/>
    </row>
    <row r="5" spans="1:9" x14ac:dyDescent="0.2">
      <c r="A5" t="s">
        <v>15</v>
      </c>
      <c r="B5">
        <v>1</v>
      </c>
      <c r="C5">
        <v>5.36</v>
      </c>
      <c r="D5">
        <v>5.3616000000000001</v>
      </c>
      <c r="E5">
        <v>13.967000000000001</v>
      </c>
      <c r="F5">
        <v>6.6E-3</v>
      </c>
      <c r="G5">
        <v>0.29499999999999998</v>
      </c>
      <c r="I5" s="1"/>
    </row>
    <row r="6" spans="1:9" x14ac:dyDescent="0.2">
      <c r="A6" t="s">
        <v>16</v>
      </c>
      <c r="B6">
        <v>1</v>
      </c>
      <c r="C6">
        <v>3.04</v>
      </c>
      <c r="D6">
        <v>3.0403699999999998</v>
      </c>
      <c r="E6">
        <v>7.8975</v>
      </c>
      <c r="F6">
        <v>3.7399999999999998E-3</v>
      </c>
      <c r="G6">
        <v>0.76400000000000001</v>
      </c>
      <c r="I6" s="1"/>
    </row>
    <row r="7" spans="1:9" x14ac:dyDescent="0.2">
      <c r="A7" t="s">
        <v>17</v>
      </c>
      <c r="B7">
        <v>1</v>
      </c>
      <c r="C7">
        <v>2.59</v>
      </c>
      <c r="D7">
        <v>2.59145</v>
      </c>
      <c r="E7">
        <v>6.7276999999999996</v>
      </c>
      <c r="F7">
        <v>3.1900000000000001E-3</v>
      </c>
      <c r="G7">
        <v>0.89300000000000002</v>
      </c>
      <c r="I7" s="1"/>
    </row>
    <row r="8" spans="1:9" x14ac:dyDescent="0.2">
      <c r="A8" t="s">
        <v>18</v>
      </c>
      <c r="B8">
        <v>1</v>
      </c>
      <c r="C8">
        <v>3.89</v>
      </c>
      <c r="D8">
        <v>3.8929999999999998</v>
      </c>
      <c r="E8">
        <v>10.122999999999999</v>
      </c>
      <c r="F8">
        <v>4.7999999999999996E-3</v>
      </c>
      <c r="G8">
        <v>0.63100000000000001</v>
      </c>
      <c r="I8" s="1"/>
    </row>
    <row r="9" spans="1:9" x14ac:dyDescent="0.2">
      <c r="A9" t="s">
        <v>19</v>
      </c>
      <c r="B9">
        <v>1</v>
      </c>
      <c r="C9">
        <v>6.35</v>
      </c>
      <c r="D9">
        <v>6.3516000000000004</v>
      </c>
      <c r="E9">
        <v>16.565999999999999</v>
      </c>
      <c r="F9">
        <v>7.8200000000000006E-3</v>
      </c>
      <c r="G9">
        <v>0.19</v>
      </c>
      <c r="I9" s="1"/>
    </row>
    <row r="10" spans="1:9" x14ac:dyDescent="0.2">
      <c r="A10" t="s">
        <v>20</v>
      </c>
      <c r="B10">
        <v>1</v>
      </c>
      <c r="C10">
        <v>3.97</v>
      </c>
      <c r="D10">
        <v>3.9666000000000001</v>
      </c>
      <c r="E10">
        <v>10.315</v>
      </c>
      <c r="F10">
        <v>4.8900000000000002E-3</v>
      </c>
      <c r="G10">
        <v>0.63700000000000001</v>
      </c>
      <c r="I10" s="1"/>
    </row>
    <row r="11" spans="1:9" x14ac:dyDescent="0.2">
      <c r="A11" t="s">
        <v>21</v>
      </c>
      <c r="B11">
        <v>1</v>
      </c>
      <c r="C11">
        <v>10.78</v>
      </c>
      <c r="D11">
        <v>10.783899999999999</v>
      </c>
      <c r="E11">
        <v>28.282</v>
      </c>
      <c r="F11">
        <v>1.328E-2</v>
      </c>
      <c r="G11">
        <v>1.4999999999999999E-2</v>
      </c>
      <c r="H11" t="s">
        <v>7</v>
      </c>
      <c r="I11" s="1"/>
    </row>
    <row r="12" spans="1:9" x14ac:dyDescent="0.2">
      <c r="A12" t="s">
        <v>22</v>
      </c>
      <c r="B12">
        <v>1</v>
      </c>
      <c r="C12">
        <v>5.65</v>
      </c>
      <c r="D12">
        <v>5.6497999999999999</v>
      </c>
      <c r="E12">
        <v>14.723000000000001</v>
      </c>
      <c r="F12">
        <v>6.96E-3</v>
      </c>
      <c r="G12">
        <v>0.29499999999999998</v>
      </c>
      <c r="I12" s="1"/>
    </row>
    <row r="13" spans="1:9" x14ac:dyDescent="0.2">
      <c r="A13" t="s">
        <v>23</v>
      </c>
      <c r="B13">
        <v>1</v>
      </c>
      <c r="C13">
        <v>4.09</v>
      </c>
      <c r="D13">
        <v>4.0894000000000004</v>
      </c>
      <c r="E13">
        <v>10.635999999999999</v>
      </c>
      <c r="F13">
        <v>5.0400000000000002E-3</v>
      </c>
      <c r="G13">
        <v>0.58099999999999996</v>
      </c>
      <c r="I13" s="1"/>
    </row>
    <row r="14" spans="1:9" x14ac:dyDescent="0.2">
      <c r="A14" t="s">
        <v>24</v>
      </c>
      <c r="B14">
        <v>1</v>
      </c>
      <c r="C14">
        <v>8.98</v>
      </c>
      <c r="D14">
        <v>8.9809000000000001</v>
      </c>
      <c r="E14">
        <v>23.501000000000001</v>
      </c>
      <c r="F14">
        <v>1.106E-2</v>
      </c>
      <c r="G14">
        <v>5.7000000000000002E-2</v>
      </c>
      <c r="H14" t="s">
        <v>8</v>
      </c>
      <c r="I14" s="1"/>
    </row>
    <row r="15" spans="1:9" x14ac:dyDescent="0.2">
      <c r="A15" t="s">
        <v>25</v>
      </c>
      <c r="B15">
        <v>1</v>
      </c>
      <c r="C15">
        <v>5.64</v>
      </c>
      <c r="D15">
        <v>5.6353999999999997</v>
      </c>
      <c r="E15">
        <v>14.685</v>
      </c>
      <c r="F15">
        <v>6.94E-3</v>
      </c>
      <c r="G15">
        <v>0.246</v>
      </c>
      <c r="I15" s="1"/>
    </row>
    <row r="16" spans="1:9" x14ac:dyDescent="0.2">
      <c r="A16" t="s">
        <v>26</v>
      </c>
      <c r="B16">
        <v>1</v>
      </c>
      <c r="C16">
        <v>5.85</v>
      </c>
      <c r="D16">
        <v>5.8472</v>
      </c>
      <c r="E16">
        <v>15.241</v>
      </c>
      <c r="F16">
        <v>7.1999999999999998E-3</v>
      </c>
      <c r="G16">
        <v>0.23499999999999999</v>
      </c>
      <c r="I16" s="1"/>
    </row>
    <row r="17" spans="1:9" x14ac:dyDescent="0.2">
      <c r="A17" t="s">
        <v>27</v>
      </c>
      <c r="B17">
        <v>1</v>
      </c>
      <c r="C17">
        <v>6.01</v>
      </c>
      <c r="D17">
        <v>6.0088999999999997</v>
      </c>
      <c r="E17">
        <v>15.666</v>
      </c>
      <c r="F17">
        <v>7.4000000000000003E-3</v>
      </c>
      <c r="G17">
        <v>0.245</v>
      </c>
      <c r="I17" s="1"/>
    </row>
    <row r="18" spans="1:9" x14ac:dyDescent="0.2">
      <c r="A18" t="s">
        <v>28</v>
      </c>
      <c r="B18">
        <v>1</v>
      </c>
      <c r="C18">
        <v>9.59</v>
      </c>
      <c r="D18">
        <v>9.5869</v>
      </c>
      <c r="E18">
        <v>25.106000000000002</v>
      </c>
      <c r="F18">
        <v>1.1809999999999999E-2</v>
      </c>
      <c r="G18">
        <v>0.03</v>
      </c>
      <c r="H18" t="s">
        <v>7</v>
      </c>
      <c r="I18" s="1"/>
    </row>
    <row r="19" spans="1:9" x14ac:dyDescent="0.2">
      <c r="A19" t="s">
        <v>29</v>
      </c>
      <c r="B19">
        <v>1</v>
      </c>
      <c r="C19">
        <v>4.16</v>
      </c>
      <c r="D19">
        <v>4.1582999999999997</v>
      </c>
      <c r="E19">
        <v>10.816000000000001</v>
      </c>
      <c r="F19">
        <v>5.1200000000000004E-3</v>
      </c>
      <c r="G19">
        <v>0.58499999999999996</v>
      </c>
      <c r="I19" s="1"/>
    </row>
    <row r="20" spans="1:9" x14ac:dyDescent="0.2">
      <c r="A20" t="s">
        <v>30</v>
      </c>
      <c r="B20">
        <v>1</v>
      </c>
      <c r="C20">
        <v>2.5</v>
      </c>
      <c r="D20">
        <v>2.50204</v>
      </c>
      <c r="E20">
        <v>6.4949000000000003</v>
      </c>
      <c r="F20">
        <v>3.0799999999999998E-3</v>
      </c>
      <c r="G20">
        <v>0.90900000000000003</v>
      </c>
      <c r="I20" s="1"/>
    </row>
    <row r="21" spans="1:9" x14ac:dyDescent="0.2">
      <c r="A21" t="s">
        <v>31</v>
      </c>
      <c r="B21">
        <v>1</v>
      </c>
      <c r="C21">
        <v>4.4800000000000004</v>
      </c>
      <c r="D21">
        <v>4.4840999999999998</v>
      </c>
      <c r="E21">
        <v>11.667999999999999</v>
      </c>
      <c r="F21">
        <v>5.5199999999999997E-3</v>
      </c>
      <c r="G21">
        <v>0.48099999999999998</v>
      </c>
      <c r="I21" s="1"/>
    </row>
    <row r="22" spans="1:9" x14ac:dyDescent="0.2">
      <c r="A22" t="s">
        <v>32</v>
      </c>
      <c r="B22">
        <v>1</v>
      </c>
      <c r="C22">
        <v>3.78</v>
      </c>
      <c r="D22">
        <v>3.7751999999999999</v>
      </c>
      <c r="E22">
        <v>9.8153000000000006</v>
      </c>
      <c r="F22">
        <v>4.6499999999999996E-3</v>
      </c>
      <c r="G22">
        <v>0.67200000000000004</v>
      </c>
      <c r="I22" s="1"/>
    </row>
    <row r="23" spans="1:9" x14ac:dyDescent="0.2">
      <c r="A23" t="s">
        <v>33</v>
      </c>
      <c r="B23">
        <v>1</v>
      </c>
      <c r="C23">
        <v>3.4</v>
      </c>
      <c r="D23">
        <v>3.3967000000000001</v>
      </c>
      <c r="E23">
        <v>8.8269000000000002</v>
      </c>
      <c r="F23">
        <v>4.1799999999999997E-3</v>
      </c>
      <c r="G23">
        <v>0.748</v>
      </c>
      <c r="I23" s="1"/>
    </row>
    <row r="24" spans="1:9" x14ac:dyDescent="0.2">
      <c r="A24" t="s">
        <v>34</v>
      </c>
      <c r="B24">
        <v>1</v>
      </c>
      <c r="C24">
        <v>4.1399999999999997</v>
      </c>
      <c r="D24">
        <v>4.1395</v>
      </c>
      <c r="E24">
        <v>10.766999999999999</v>
      </c>
      <c r="F24">
        <v>5.1000000000000004E-3</v>
      </c>
      <c r="G24">
        <v>0.55100000000000005</v>
      </c>
      <c r="I24" s="1"/>
    </row>
    <row r="25" spans="1:9" x14ac:dyDescent="0.2">
      <c r="A25" t="s">
        <v>35</v>
      </c>
      <c r="B25">
        <v>1</v>
      </c>
      <c r="C25">
        <v>2.97</v>
      </c>
      <c r="D25">
        <v>2.9723299999999999</v>
      </c>
      <c r="E25">
        <v>7.7201000000000004</v>
      </c>
      <c r="F25">
        <v>3.6600000000000001E-3</v>
      </c>
      <c r="G25">
        <v>0.78</v>
      </c>
      <c r="I25" s="1"/>
    </row>
    <row r="26" spans="1:9" x14ac:dyDescent="0.2">
      <c r="A26" t="s">
        <v>36</v>
      </c>
      <c r="B26">
        <v>1</v>
      </c>
      <c r="C26">
        <v>3.43</v>
      </c>
      <c r="D26">
        <v>3.4296000000000002</v>
      </c>
      <c r="E26">
        <v>8.9129000000000005</v>
      </c>
      <c r="F26">
        <v>4.2199999999999998E-3</v>
      </c>
      <c r="G26">
        <v>0.67200000000000004</v>
      </c>
      <c r="I26" s="1"/>
    </row>
    <row r="27" spans="1:9" x14ac:dyDescent="0.2">
      <c r="A27" t="s">
        <v>37</v>
      </c>
      <c r="B27">
        <v>1</v>
      </c>
      <c r="C27">
        <v>8.6999999999999993</v>
      </c>
      <c r="D27">
        <v>8.7029999999999994</v>
      </c>
      <c r="E27">
        <v>22.765999999999998</v>
      </c>
      <c r="F27">
        <v>1.072E-2</v>
      </c>
      <c r="G27">
        <v>6.6000000000000003E-2</v>
      </c>
      <c r="H27" t="s">
        <v>8</v>
      </c>
      <c r="I27" s="1"/>
    </row>
    <row r="28" spans="1:9" x14ac:dyDescent="0.2">
      <c r="A28" t="s">
        <v>38</v>
      </c>
      <c r="B28">
        <v>1</v>
      </c>
      <c r="C28">
        <v>3.57</v>
      </c>
      <c r="D28">
        <v>3.5743</v>
      </c>
      <c r="E28">
        <v>9.2905999999999995</v>
      </c>
      <c r="F28">
        <v>4.4000000000000003E-3</v>
      </c>
      <c r="G28">
        <v>0.61899999999999999</v>
      </c>
      <c r="I28" s="1"/>
    </row>
    <row r="29" spans="1:9" x14ac:dyDescent="0.2">
      <c r="A29" t="s">
        <v>39</v>
      </c>
      <c r="B29">
        <v>1</v>
      </c>
      <c r="C29">
        <v>3.11</v>
      </c>
      <c r="D29">
        <v>3.1143000000000001</v>
      </c>
      <c r="E29">
        <v>8.1262000000000008</v>
      </c>
      <c r="F29">
        <v>4.2900000000000004E-3</v>
      </c>
      <c r="G29">
        <v>0.74199999999999999</v>
      </c>
      <c r="I29" s="1"/>
    </row>
    <row r="30" spans="1:9" x14ac:dyDescent="0.2">
      <c r="A30" t="s">
        <v>40</v>
      </c>
      <c r="B30">
        <v>1</v>
      </c>
      <c r="C30">
        <v>21.08</v>
      </c>
      <c r="D30">
        <v>21.083600000000001</v>
      </c>
      <c r="E30">
        <v>56.015000000000001</v>
      </c>
      <c r="F30">
        <v>2.597E-2</v>
      </c>
      <c r="G30">
        <v>1E-3</v>
      </c>
      <c r="H30" t="s">
        <v>11</v>
      </c>
      <c r="I30" s="1"/>
    </row>
    <row r="31" spans="1:9" x14ac:dyDescent="0.2">
      <c r="A31" t="s">
        <v>41</v>
      </c>
      <c r="B31">
        <v>1</v>
      </c>
      <c r="C31">
        <v>19.45</v>
      </c>
      <c r="D31">
        <v>19.445499999999999</v>
      </c>
      <c r="E31">
        <v>51.555999999999997</v>
      </c>
      <c r="F31">
        <v>2.3949999999999999E-2</v>
      </c>
      <c r="G31">
        <v>1E-3</v>
      </c>
      <c r="H31" t="s">
        <v>11</v>
      </c>
      <c r="I31" s="1"/>
    </row>
    <row r="32" spans="1:9" x14ac:dyDescent="0.2">
      <c r="A32" t="s">
        <v>42</v>
      </c>
      <c r="B32">
        <v>1</v>
      </c>
      <c r="C32">
        <v>6.01</v>
      </c>
      <c r="D32">
        <v>6.0147000000000004</v>
      </c>
      <c r="E32">
        <v>15.680999999999999</v>
      </c>
      <c r="F32">
        <v>7.4099999999999999E-3</v>
      </c>
      <c r="G32">
        <v>1E-3</v>
      </c>
      <c r="H32" t="s">
        <v>11</v>
      </c>
      <c r="I32" s="1"/>
    </row>
    <row r="33" spans="1:9" x14ac:dyDescent="0.2">
      <c r="A33" t="s">
        <v>43</v>
      </c>
      <c r="B33">
        <v>1</v>
      </c>
      <c r="C33">
        <v>13</v>
      </c>
      <c r="D33">
        <v>12.998200000000001</v>
      </c>
      <c r="E33">
        <v>34.183999999999997</v>
      </c>
      <c r="F33">
        <v>1.601E-2</v>
      </c>
      <c r="G33">
        <v>0.02</v>
      </c>
      <c r="H33" t="s">
        <v>7</v>
      </c>
      <c r="I33" s="1"/>
    </row>
    <row r="34" spans="1:9" x14ac:dyDescent="0.2">
      <c r="A34" t="s">
        <v>44</v>
      </c>
      <c r="B34">
        <v>1</v>
      </c>
      <c r="C34">
        <v>3.38</v>
      </c>
      <c r="D34">
        <v>3.3820000000000001</v>
      </c>
      <c r="E34">
        <v>8.7886000000000006</v>
      </c>
      <c r="F34">
        <v>4.1700000000000001E-3</v>
      </c>
      <c r="G34">
        <v>1E-3</v>
      </c>
      <c r="H34" t="s">
        <v>11</v>
      </c>
      <c r="I34" s="1"/>
    </row>
    <row r="35" spans="1:9" x14ac:dyDescent="0.2">
      <c r="A35" t="s">
        <v>45</v>
      </c>
      <c r="B35">
        <v>1</v>
      </c>
      <c r="C35">
        <v>8.6</v>
      </c>
      <c r="D35">
        <v>8.6031999999999993</v>
      </c>
      <c r="E35">
        <v>22.501999999999999</v>
      </c>
      <c r="F35">
        <v>1.06E-2</v>
      </c>
      <c r="G35">
        <v>1E-3</v>
      </c>
      <c r="H35" t="s">
        <v>11</v>
      </c>
      <c r="I35" s="1"/>
    </row>
    <row r="36" spans="1:9" x14ac:dyDescent="0.2">
      <c r="A36" t="s">
        <v>46</v>
      </c>
      <c r="B36">
        <v>1</v>
      </c>
      <c r="C36">
        <v>4.0199999999999996</v>
      </c>
      <c r="D36">
        <v>4.024</v>
      </c>
      <c r="E36">
        <v>10.465</v>
      </c>
      <c r="F36">
        <v>4.96E-3</v>
      </c>
      <c r="G36">
        <v>1E-3</v>
      </c>
      <c r="H36" t="s">
        <v>11</v>
      </c>
      <c r="I36" s="1"/>
    </row>
    <row r="37" spans="1:9" x14ac:dyDescent="0.2">
      <c r="A37" t="s">
        <v>47</v>
      </c>
      <c r="B37">
        <v>1</v>
      </c>
      <c r="C37">
        <v>1.23</v>
      </c>
      <c r="D37">
        <v>1.2256</v>
      </c>
      <c r="E37">
        <v>3.1764000000000001</v>
      </c>
      <c r="F37">
        <v>1.5100000000000001E-3</v>
      </c>
      <c r="G37">
        <v>5.2999999999999999E-2</v>
      </c>
      <c r="H37" t="s">
        <v>8</v>
      </c>
      <c r="I37" s="1"/>
    </row>
    <row r="38" spans="1:9" x14ac:dyDescent="0.2">
      <c r="A38" t="s">
        <v>48</v>
      </c>
      <c r="B38">
        <v>1</v>
      </c>
      <c r="C38">
        <v>0.51</v>
      </c>
      <c r="D38">
        <v>0.51334999999999997</v>
      </c>
      <c r="E38">
        <v>1.3292999999999999</v>
      </c>
      <c r="F38">
        <v>6.3000000000000003E-4</v>
      </c>
      <c r="G38">
        <v>0.92400000000000004</v>
      </c>
      <c r="I38" s="1"/>
    </row>
    <row r="39" spans="1:9" x14ac:dyDescent="0.2">
      <c r="A39" t="s">
        <v>49</v>
      </c>
      <c r="B39">
        <v>1</v>
      </c>
      <c r="C39">
        <v>4.76</v>
      </c>
      <c r="D39">
        <v>4.7596999999999996</v>
      </c>
      <c r="E39">
        <v>12.39</v>
      </c>
      <c r="F39">
        <v>5.8599999999999998E-3</v>
      </c>
      <c r="G39">
        <v>1E-3</v>
      </c>
      <c r="H39" t="s">
        <v>11</v>
      </c>
      <c r="I39" s="1"/>
    </row>
    <row r="40" spans="1:9" x14ac:dyDescent="0.2">
      <c r="A40" t="s">
        <v>50</v>
      </c>
      <c r="B40">
        <v>1</v>
      </c>
      <c r="C40">
        <v>5.86</v>
      </c>
      <c r="D40">
        <v>5.8587999999999996</v>
      </c>
      <c r="E40">
        <v>15.272</v>
      </c>
      <c r="F40">
        <v>7.2199999999999999E-3</v>
      </c>
      <c r="G40">
        <v>2E-3</v>
      </c>
      <c r="H40" t="s">
        <v>51</v>
      </c>
      <c r="I40" s="1"/>
    </row>
    <row r="41" spans="1:9" x14ac:dyDescent="0.2">
      <c r="A41" t="s">
        <v>52</v>
      </c>
      <c r="B41">
        <v>1</v>
      </c>
      <c r="C41">
        <v>13.32</v>
      </c>
      <c r="D41">
        <v>13.3164</v>
      </c>
      <c r="E41">
        <v>35.034999999999997</v>
      </c>
      <c r="F41">
        <v>1.6400000000000001E-2</v>
      </c>
      <c r="G41">
        <v>1E-3</v>
      </c>
      <c r="H41" t="s">
        <v>11</v>
      </c>
      <c r="I41" s="1"/>
    </row>
    <row r="42" spans="1:9" x14ac:dyDescent="0.2">
      <c r="A42" t="s">
        <v>53</v>
      </c>
      <c r="B42">
        <v>1</v>
      </c>
      <c r="C42">
        <v>4.4000000000000004</v>
      </c>
      <c r="D42">
        <v>4.3963999999999999</v>
      </c>
      <c r="E42">
        <v>11.439</v>
      </c>
      <c r="F42">
        <v>5.4200000000000003E-3</v>
      </c>
      <c r="G42">
        <v>0.17199999999999999</v>
      </c>
      <c r="I42" s="1"/>
    </row>
    <row r="43" spans="1:9" x14ac:dyDescent="0.2">
      <c r="A43" t="s">
        <v>54</v>
      </c>
      <c r="B43">
        <v>1</v>
      </c>
      <c r="C43">
        <v>7.29</v>
      </c>
      <c r="D43">
        <v>7.2873999999999999</v>
      </c>
      <c r="E43">
        <v>19.029</v>
      </c>
      <c r="F43">
        <v>8.9800000000000001E-3</v>
      </c>
      <c r="G43">
        <v>3.1E-2</v>
      </c>
      <c r="H43" t="s">
        <v>7</v>
      </c>
      <c r="I43" s="1"/>
    </row>
    <row r="44" spans="1:9" x14ac:dyDescent="0.2">
      <c r="A44" t="s">
        <v>55</v>
      </c>
      <c r="B44">
        <v>1</v>
      </c>
      <c r="C44">
        <v>5.77</v>
      </c>
      <c r="D44">
        <v>5.7656999999999998</v>
      </c>
      <c r="E44">
        <v>15.026999999999999</v>
      </c>
      <c r="F44">
        <v>7.1000000000000004E-3</v>
      </c>
      <c r="G44">
        <v>1E-3</v>
      </c>
      <c r="H44" t="s">
        <v>11</v>
      </c>
      <c r="I44" s="1"/>
    </row>
    <row r="45" spans="1:9" x14ac:dyDescent="0.2">
      <c r="A45" t="s">
        <v>56</v>
      </c>
      <c r="B45">
        <v>1</v>
      </c>
      <c r="C45">
        <v>3.66</v>
      </c>
      <c r="D45">
        <v>3.6574</v>
      </c>
      <c r="E45">
        <v>9.5076000000000001</v>
      </c>
      <c r="F45">
        <v>4.4999999999999997E-3</v>
      </c>
      <c r="G45">
        <v>8.9999999999999993E-3</v>
      </c>
      <c r="H45" t="s">
        <v>51</v>
      </c>
      <c r="I45" s="1"/>
    </row>
    <row r="46" spans="1:9" x14ac:dyDescent="0.2">
      <c r="A46" t="s">
        <v>57</v>
      </c>
      <c r="B46">
        <v>1</v>
      </c>
      <c r="C46">
        <v>2.36</v>
      </c>
      <c r="D46">
        <v>2.3643999999999998</v>
      </c>
      <c r="E46">
        <v>6.1364999999999998</v>
      </c>
      <c r="F46">
        <v>2.9099999999999998E-3</v>
      </c>
      <c r="G46">
        <v>8.9999999999999993E-3</v>
      </c>
      <c r="H46" t="s">
        <v>51</v>
      </c>
      <c r="I46" s="1"/>
    </row>
    <row r="47" spans="1:9" x14ac:dyDescent="0.2">
      <c r="A47" t="s">
        <v>58</v>
      </c>
      <c r="B47">
        <v>1</v>
      </c>
      <c r="C47">
        <v>5.19</v>
      </c>
      <c r="D47">
        <v>5.1863999999999999</v>
      </c>
      <c r="E47">
        <v>13.507999999999999</v>
      </c>
      <c r="F47">
        <v>6.3899999999999998E-3</v>
      </c>
      <c r="G47">
        <v>1.7000000000000001E-2</v>
      </c>
      <c r="H47" t="s">
        <v>7</v>
      </c>
      <c r="I47" s="1"/>
    </row>
    <row r="48" spans="1:9" x14ac:dyDescent="0.2">
      <c r="A48" t="s">
        <v>59</v>
      </c>
      <c r="B48">
        <v>1</v>
      </c>
      <c r="C48">
        <v>16.73</v>
      </c>
      <c r="D48">
        <v>16.7256</v>
      </c>
      <c r="E48">
        <v>44.192999999999998</v>
      </c>
      <c r="F48">
        <v>2.06E-2</v>
      </c>
      <c r="G48">
        <v>1E-3</v>
      </c>
      <c r="H48" t="s">
        <v>11</v>
      </c>
      <c r="I48" s="1"/>
    </row>
    <row r="49" spans="1:9" x14ac:dyDescent="0.2">
      <c r="I49" s="1"/>
    </row>
    <row r="50" spans="1:9" x14ac:dyDescent="0.2">
      <c r="A50" t="s">
        <v>10</v>
      </c>
      <c r="B50">
        <v>143</v>
      </c>
      <c r="C50">
        <v>458</v>
      </c>
      <c r="D50">
        <v>3.2027999999999999</v>
      </c>
      <c r="E50">
        <v>17.73</v>
      </c>
      <c r="F50">
        <v>0.56413000000000002</v>
      </c>
      <c r="G50">
        <v>1E-3</v>
      </c>
      <c r="H50" t="s">
        <v>11</v>
      </c>
      <c r="I50" s="1"/>
    </row>
    <row r="52" spans="1:9" x14ac:dyDescent="0.2">
      <c r="A52" t="s">
        <v>60</v>
      </c>
      <c r="B52">
        <v>1</v>
      </c>
      <c r="C52">
        <v>4.6100000000000003</v>
      </c>
      <c r="D52">
        <v>4.6113</v>
      </c>
      <c r="E52">
        <v>12.000999999999999</v>
      </c>
      <c r="F52">
        <v>5.6800000000000002E-3</v>
      </c>
      <c r="G52">
        <v>0.47599999999999998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F44C-A174-DA43-9337-F6A1FB6EEA5B}">
  <dimension ref="A1:AY82"/>
  <sheetViews>
    <sheetView workbookViewId="0">
      <pane xSplit="1" ySplit="2" topLeftCell="BH15" activePane="bottomRight" state="frozen"/>
      <selection pane="topRight" activeCell="B1" sqref="B1"/>
      <selection pane="bottomLeft" activeCell="A3" sqref="A3"/>
      <selection pane="bottomRight" activeCell="A30" sqref="A30:F30"/>
    </sheetView>
  </sheetViews>
  <sheetFormatPr baseColWidth="10" defaultRowHeight="16" x14ac:dyDescent="0.2"/>
  <cols>
    <col min="1" max="1" width="30.1640625" customWidth="1"/>
    <col min="2" max="2" width="10.83203125" style="3"/>
    <col min="3" max="3" width="10.83203125" style="4"/>
    <col min="4" max="4" width="10.83203125" style="3"/>
    <col min="5" max="5" width="10.83203125" customWidth="1"/>
    <col min="6" max="6" width="10.83203125" style="4" customWidth="1"/>
    <col min="7" max="7" width="10.83203125" style="3" customWidth="1"/>
    <col min="8" max="8" width="10.83203125" customWidth="1"/>
    <col min="9" max="9" width="10.83203125" style="4" customWidth="1"/>
    <col min="10" max="10" width="10.83203125" style="3"/>
    <col min="12" max="12" width="10.83203125" style="4"/>
    <col min="16" max="16" width="10.83203125" style="3"/>
    <col min="18" max="18" width="10.83203125" style="4"/>
    <col min="19" max="19" width="10.83203125" style="3"/>
    <col min="21" max="21" width="10.83203125" style="4"/>
    <col min="22" max="22" width="10.83203125" style="3"/>
    <col min="24" max="24" width="10.83203125" style="4"/>
    <col min="28" max="28" width="10.83203125" style="3"/>
    <col min="30" max="30" width="10.83203125" style="4"/>
    <col min="34" max="34" width="10.83203125" style="3"/>
    <col min="36" max="36" width="10.83203125" style="4"/>
    <col min="40" max="40" width="10.83203125" style="3"/>
    <col min="42" max="42" width="10.83203125" style="4"/>
    <col min="46" max="46" width="10.83203125" style="3"/>
    <col min="48" max="48" width="10.83203125" style="4"/>
    <col min="49" max="49" width="10.83203125" style="3"/>
    <col min="51" max="51" width="10.83203125" style="4"/>
  </cols>
  <sheetData>
    <row r="1" spans="1:51" x14ac:dyDescent="0.2">
      <c r="A1" s="89" t="s">
        <v>0</v>
      </c>
      <c r="B1" s="86" t="s">
        <v>68</v>
      </c>
      <c r="C1" s="88"/>
      <c r="D1" s="86" t="s">
        <v>98</v>
      </c>
      <c r="E1" s="87"/>
      <c r="F1" s="88"/>
      <c r="G1" s="83" t="s">
        <v>131</v>
      </c>
      <c r="H1" s="84"/>
      <c r="I1" s="85"/>
      <c r="J1" s="86" t="s">
        <v>92</v>
      </c>
      <c r="K1" s="87"/>
      <c r="L1" s="88"/>
      <c r="M1" s="83" t="s">
        <v>132</v>
      </c>
      <c r="N1" s="84"/>
      <c r="O1" s="85"/>
      <c r="P1" s="86" t="s">
        <v>87</v>
      </c>
      <c r="Q1" s="87"/>
      <c r="R1" s="88"/>
      <c r="S1" s="86" t="s">
        <v>88</v>
      </c>
      <c r="T1" s="87"/>
      <c r="U1" s="88"/>
      <c r="V1" s="86" t="s">
        <v>89</v>
      </c>
      <c r="W1" s="87"/>
      <c r="X1" s="88"/>
      <c r="Y1" s="83" t="s">
        <v>93</v>
      </c>
      <c r="Z1" s="84"/>
      <c r="AA1" s="85"/>
      <c r="AB1" s="86" t="s">
        <v>90</v>
      </c>
      <c r="AC1" s="87"/>
      <c r="AD1" s="88"/>
      <c r="AE1" s="83" t="s">
        <v>94</v>
      </c>
      <c r="AF1" s="84"/>
      <c r="AG1" s="85"/>
      <c r="AH1" s="86" t="s">
        <v>84</v>
      </c>
      <c r="AI1" s="87"/>
      <c r="AJ1" s="88"/>
      <c r="AK1" s="83" t="s">
        <v>95</v>
      </c>
      <c r="AL1" s="84"/>
      <c r="AM1" s="85"/>
      <c r="AN1" s="86" t="s">
        <v>86</v>
      </c>
      <c r="AO1" s="87"/>
      <c r="AP1" s="88"/>
      <c r="AQ1" s="83" t="s">
        <v>96</v>
      </c>
      <c r="AR1" s="84"/>
      <c r="AS1" s="85"/>
      <c r="AT1" s="86" t="s">
        <v>91</v>
      </c>
      <c r="AU1" s="87"/>
      <c r="AV1" s="88"/>
      <c r="AW1" s="83" t="s">
        <v>97</v>
      </c>
      <c r="AX1" s="84"/>
      <c r="AY1" s="85"/>
    </row>
    <row r="2" spans="1:51" x14ac:dyDescent="0.2">
      <c r="A2" s="89"/>
      <c r="B2" s="3" t="s">
        <v>6</v>
      </c>
      <c r="C2" s="4" t="s">
        <v>9</v>
      </c>
      <c r="D2" s="3" t="s">
        <v>6</v>
      </c>
      <c r="E2" t="s">
        <v>9</v>
      </c>
      <c r="F2" s="4" t="s">
        <v>5</v>
      </c>
      <c r="G2" s="8" t="s">
        <v>6</v>
      </c>
      <c r="H2" s="9" t="s">
        <v>9</v>
      </c>
      <c r="I2" s="10" t="s">
        <v>5</v>
      </c>
      <c r="J2" s="3" t="s">
        <v>6</v>
      </c>
      <c r="K2" t="s">
        <v>9</v>
      </c>
      <c r="L2" s="4" t="s">
        <v>5</v>
      </c>
      <c r="M2" s="8" t="s">
        <v>6</v>
      </c>
      <c r="N2" s="9" t="s">
        <v>9</v>
      </c>
      <c r="O2" s="10" t="s">
        <v>5</v>
      </c>
      <c r="P2" s="3" t="s">
        <v>6</v>
      </c>
      <c r="Q2" t="s">
        <v>9</v>
      </c>
      <c r="R2" s="4" t="s">
        <v>5</v>
      </c>
      <c r="S2" s="3" t="s">
        <v>6</v>
      </c>
      <c r="T2" t="s">
        <v>9</v>
      </c>
      <c r="U2" s="4" t="s">
        <v>5</v>
      </c>
      <c r="V2" s="3" t="s">
        <v>6</v>
      </c>
      <c r="W2" t="s">
        <v>9</v>
      </c>
      <c r="X2" s="4" t="s">
        <v>5</v>
      </c>
      <c r="Y2" s="8" t="s">
        <v>6</v>
      </c>
      <c r="Z2" s="9" t="s">
        <v>9</v>
      </c>
      <c r="AA2" s="10" t="s">
        <v>5</v>
      </c>
      <c r="AB2" s="3" t="s">
        <v>6</v>
      </c>
      <c r="AC2" t="s">
        <v>9</v>
      </c>
      <c r="AD2" s="4" t="s">
        <v>5</v>
      </c>
      <c r="AE2" s="8" t="s">
        <v>6</v>
      </c>
      <c r="AF2" s="9" t="s">
        <v>9</v>
      </c>
      <c r="AG2" s="10" t="s">
        <v>5</v>
      </c>
      <c r="AH2" s="3" t="s">
        <v>6</v>
      </c>
      <c r="AI2" t="s">
        <v>9</v>
      </c>
      <c r="AJ2" s="4" t="s">
        <v>5</v>
      </c>
      <c r="AK2" s="8" t="s">
        <v>6</v>
      </c>
      <c r="AL2" s="9" t="s">
        <v>9</v>
      </c>
      <c r="AM2" s="10" t="s">
        <v>5</v>
      </c>
      <c r="AN2" s="3" t="s">
        <v>6</v>
      </c>
      <c r="AO2" t="s">
        <v>9</v>
      </c>
      <c r="AP2" s="4" t="s">
        <v>5</v>
      </c>
      <c r="AQ2" s="8" t="s">
        <v>6</v>
      </c>
      <c r="AR2" s="9" t="s">
        <v>9</v>
      </c>
      <c r="AS2" s="10" t="s">
        <v>5</v>
      </c>
      <c r="AT2" s="3" t="s">
        <v>6</v>
      </c>
      <c r="AU2" t="s">
        <v>9</v>
      </c>
      <c r="AV2" s="4" t="s">
        <v>5</v>
      </c>
      <c r="AW2" s="8" t="s">
        <v>6</v>
      </c>
      <c r="AX2" s="9" t="s">
        <v>9</v>
      </c>
      <c r="AY2" s="10" t="s">
        <v>5</v>
      </c>
    </row>
    <row r="3" spans="1:51" x14ac:dyDescent="0.2">
      <c r="A3" t="s">
        <v>12</v>
      </c>
      <c r="B3" s="3">
        <v>0.68600000000000005</v>
      </c>
      <c r="D3" s="3">
        <v>0.68600000000000005</v>
      </c>
      <c r="P3" s="3">
        <v>0.81699999999999995</v>
      </c>
      <c r="R3" s="4">
        <v>4.28E-3</v>
      </c>
    </row>
    <row r="4" spans="1:51" x14ac:dyDescent="0.2">
      <c r="A4" t="s">
        <v>13</v>
      </c>
      <c r="B4" s="3">
        <v>0.50600000000000001</v>
      </c>
      <c r="D4" s="3">
        <v>0.50900000000000001</v>
      </c>
    </row>
    <row r="5" spans="1:51" x14ac:dyDescent="0.2">
      <c r="A5" t="s">
        <v>14</v>
      </c>
      <c r="B5" s="3">
        <v>0.72</v>
      </c>
      <c r="D5" s="3">
        <v>0.74</v>
      </c>
    </row>
    <row r="6" spans="1:51" x14ac:dyDescent="0.2">
      <c r="A6" t="s">
        <v>15</v>
      </c>
      <c r="B6" s="3">
        <v>0.29499999999999998</v>
      </c>
      <c r="D6" s="3">
        <v>0.309</v>
      </c>
    </row>
    <row r="7" spans="1:51" x14ac:dyDescent="0.2">
      <c r="A7" t="s">
        <v>16</v>
      </c>
      <c r="B7" s="3">
        <v>0.76400000000000001</v>
      </c>
      <c r="D7" s="3">
        <v>0.76700000000000002</v>
      </c>
    </row>
    <row r="8" spans="1:51" x14ac:dyDescent="0.2">
      <c r="A8" t="s">
        <v>17</v>
      </c>
      <c r="B8" s="3">
        <v>0.89300000000000002</v>
      </c>
      <c r="D8" s="3">
        <v>0.89100000000000001</v>
      </c>
    </row>
    <row r="9" spans="1:51" x14ac:dyDescent="0.2">
      <c r="A9" t="s">
        <v>18</v>
      </c>
      <c r="B9" s="3">
        <v>0.63100000000000001</v>
      </c>
      <c r="D9" s="3">
        <v>0.64400000000000002</v>
      </c>
    </row>
    <row r="10" spans="1:51" x14ac:dyDescent="0.2">
      <c r="A10" t="s">
        <v>19</v>
      </c>
      <c r="B10" s="3">
        <v>0.19</v>
      </c>
      <c r="D10" s="3">
        <v>0.21099999999999999</v>
      </c>
    </row>
    <row r="11" spans="1:51" x14ac:dyDescent="0.2">
      <c r="A11" t="s">
        <v>20</v>
      </c>
      <c r="B11" s="3">
        <v>0.63700000000000001</v>
      </c>
      <c r="D11" s="3">
        <v>0.64100000000000001</v>
      </c>
    </row>
    <row r="12" spans="1:51" x14ac:dyDescent="0.2">
      <c r="A12" t="s">
        <v>21</v>
      </c>
      <c r="B12" s="3">
        <v>1.4999999999999999E-2</v>
      </c>
      <c r="C12" s="4" t="s">
        <v>7</v>
      </c>
      <c r="D12" s="3">
        <v>8.9999999999999993E-3</v>
      </c>
      <c r="E12" t="s">
        <v>51</v>
      </c>
    </row>
    <row r="13" spans="1:51" x14ac:dyDescent="0.2">
      <c r="A13" t="s">
        <v>22</v>
      </c>
      <c r="B13" s="3">
        <v>0.29499999999999998</v>
      </c>
      <c r="D13" s="3">
        <v>0.29899999999999999</v>
      </c>
    </row>
    <row r="14" spans="1:51" x14ac:dyDescent="0.2">
      <c r="A14" t="s">
        <v>23</v>
      </c>
      <c r="B14" s="3">
        <v>0.58099999999999996</v>
      </c>
      <c r="D14" s="3">
        <v>0.57799999999999996</v>
      </c>
    </row>
    <row r="15" spans="1:51" x14ac:dyDescent="0.2">
      <c r="A15" t="s">
        <v>24</v>
      </c>
      <c r="B15" s="3">
        <v>5.7000000000000002E-2</v>
      </c>
      <c r="C15" s="4" t="s">
        <v>8</v>
      </c>
      <c r="D15" s="3">
        <v>5.0999999999999997E-2</v>
      </c>
      <c r="E15" t="s">
        <v>8</v>
      </c>
    </row>
    <row r="16" spans="1:51" x14ac:dyDescent="0.2">
      <c r="A16" t="s">
        <v>25</v>
      </c>
      <c r="B16" s="3">
        <v>0.246</v>
      </c>
      <c r="D16" s="3">
        <v>0.27</v>
      </c>
    </row>
    <row r="17" spans="1:5" x14ac:dyDescent="0.2">
      <c r="A17" t="s">
        <v>26</v>
      </c>
      <c r="B17" s="3">
        <v>0.23499999999999999</v>
      </c>
      <c r="D17" s="3">
        <v>0.247</v>
      </c>
    </row>
    <row r="18" spans="1:5" x14ac:dyDescent="0.2">
      <c r="A18" s="2" t="s">
        <v>27</v>
      </c>
      <c r="B18" s="3">
        <v>0.245</v>
      </c>
      <c r="D18" s="3">
        <v>0.251</v>
      </c>
    </row>
    <row r="19" spans="1:5" x14ac:dyDescent="0.2">
      <c r="A19" t="s">
        <v>28</v>
      </c>
      <c r="B19" s="3">
        <v>0.03</v>
      </c>
      <c r="C19" s="4" t="s">
        <v>7</v>
      </c>
      <c r="D19" s="3">
        <v>3.1E-2</v>
      </c>
      <c r="E19" t="s">
        <v>7</v>
      </c>
    </row>
    <row r="20" spans="1:5" x14ac:dyDescent="0.2">
      <c r="A20" t="s">
        <v>29</v>
      </c>
      <c r="B20" s="3">
        <v>0.58499999999999996</v>
      </c>
      <c r="D20" s="3">
        <v>0.52200000000000002</v>
      </c>
    </row>
    <row r="21" spans="1:5" x14ac:dyDescent="0.2">
      <c r="A21" t="s">
        <v>30</v>
      </c>
      <c r="B21" s="3">
        <v>0.90900000000000003</v>
      </c>
      <c r="D21" s="3">
        <v>0.90200000000000002</v>
      </c>
    </row>
    <row r="22" spans="1:5" x14ac:dyDescent="0.2">
      <c r="A22" t="s">
        <v>31</v>
      </c>
      <c r="B22" s="3">
        <v>0.48099999999999998</v>
      </c>
      <c r="D22" s="3">
        <v>0.504</v>
      </c>
    </row>
    <row r="23" spans="1:5" x14ac:dyDescent="0.2">
      <c r="A23" t="s">
        <v>32</v>
      </c>
      <c r="B23" s="3">
        <v>0.67200000000000004</v>
      </c>
      <c r="D23" s="3">
        <v>0.66500000000000004</v>
      </c>
    </row>
    <row r="24" spans="1:5" x14ac:dyDescent="0.2">
      <c r="A24" t="s">
        <v>33</v>
      </c>
      <c r="B24" s="3">
        <v>0.748</v>
      </c>
      <c r="D24" s="3">
        <v>0.75600000000000001</v>
      </c>
    </row>
    <row r="25" spans="1:5" x14ac:dyDescent="0.2">
      <c r="A25" t="s">
        <v>34</v>
      </c>
      <c r="B25" s="3">
        <v>0.55100000000000005</v>
      </c>
      <c r="D25" s="3">
        <v>0.57099999999999995</v>
      </c>
    </row>
    <row r="26" spans="1:5" x14ac:dyDescent="0.2">
      <c r="A26" t="s">
        <v>35</v>
      </c>
      <c r="B26" s="3">
        <v>0.78</v>
      </c>
      <c r="D26" s="3">
        <v>0.78400000000000003</v>
      </c>
    </row>
    <row r="27" spans="1:5" x14ac:dyDescent="0.2">
      <c r="A27" t="s">
        <v>36</v>
      </c>
      <c r="B27" s="3">
        <v>0.67200000000000004</v>
      </c>
      <c r="D27" s="3">
        <v>0.65500000000000003</v>
      </c>
    </row>
    <row r="28" spans="1:5" x14ac:dyDescent="0.2">
      <c r="A28" s="2" t="s">
        <v>37</v>
      </c>
      <c r="B28" s="3">
        <v>6.6000000000000003E-2</v>
      </c>
      <c r="C28" s="4" t="s">
        <v>8</v>
      </c>
      <c r="D28" s="3">
        <v>7.5999999999999998E-2</v>
      </c>
      <c r="E28" t="s">
        <v>8</v>
      </c>
    </row>
    <row r="29" spans="1:5" x14ac:dyDescent="0.2">
      <c r="A29" t="s">
        <v>38</v>
      </c>
      <c r="B29" s="3">
        <v>0.61899999999999999</v>
      </c>
      <c r="D29" s="3">
        <v>0.626</v>
      </c>
    </row>
    <row r="30" spans="1:5" x14ac:dyDescent="0.2">
      <c r="A30" t="s">
        <v>39</v>
      </c>
      <c r="B30" s="3">
        <v>0.74199999999999999</v>
      </c>
      <c r="D30" s="3" t="s">
        <v>61</v>
      </c>
    </row>
    <row r="31" spans="1:5" x14ac:dyDescent="0.2">
      <c r="A31" t="s">
        <v>40</v>
      </c>
      <c r="B31" s="3">
        <v>1E-3</v>
      </c>
      <c r="C31" s="4" t="s">
        <v>11</v>
      </c>
      <c r="D31" s="3">
        <v>1E-3</v>
      </c>
      <c r="E31" t="s">
        <v>11</v>
      </c>
    </row>
    <row r="32" spans="1:5" x14ac:dyDescent="0.2">
      <c r="A32" t="s">
        <v>41</v>
      </c>
      <c r="B32" s="3">
        <v>1E-3</v>
      </c>
      <c r="C32" s="4" t="s">
        <v>11</v>
      </c>
      <c r="D32" s="3">
        <v>1E-3</v>
      </c>
      <c r="E32" t="s">
        <v>11</v>
      </c>
    </row>
    <row r="33" spans="1:5" x14ac:dyDescent="0.2">
      <c r="A33" t="s">
        <v>42</v>
      </c>
      <c r="B33" s="3">
        <v>1E-3</v>
      </c>
      <c r="C33" s="4" t="s">
        <v>11</v>
      </c>
      <c r="D33" s="3">
        <v>1E-3</v>
      </c>
      <c r="E33" t="s">
        <v>11</v>
      </c>
    </row>
    <row r="34" spans="1:5" x14ac:dyDescent="0.2">
      <c r="A34" t="s">
        <v>43</v>
      </c>
      <c r="B34" s="3">
        <v>0.02</v>
      </c>
      <c r="C34" s="4" t="s">
        <v>7</v>
      </c>
      <c r="D34" s="3">
        <v>2.1000000000000001E-2</v>
      </c>
      <c r="E34" t="s">
        <v>7</v>
      </c>
    </row>
    <row r="35" spans="1:5" x14ac:dyDescent="0.2">
      <c r="A35" t="s">
        <v>44</v>
      </c>
      <c r="B35" s="3">
        <v>1E-3</v>
      </c>
      <c r="C35" s="4" t="s">
        <v>11</v>
      </c>
      <c r="D35" s="3">
        <v>1E-3</v>
      </c>
      <c r="E35" t="s">
        <v>11</v>
      </c>
    </row>
    <row r="36" spans="1:5" x14ac:dyDescent="0.2">
      <c r="A36" t="s">
        <v>45</v>
      </c>
      <c r="B36" s="3">
        <v>1E-3</v>
      </c>
      <c r="C36" s="4" t="s">
        <v>11</v>
      </c>
      <c r="D36" s="3">
        <v>1E-3</v>
      </c>
      <c r="E36" t="s">
        <v>11</v>
      </c>
    </row>
    <row r="37" spans="1:5" x14ac:dyDescent="0.2">
      <c r="A37" t="s">
        <v>46</v>
      </c>
      <c r="B37" s="3">
        <v>1E-3</v>
      </c>
      <c r="C37" s="4" t="s">
        <v>11</v>
      </c>
      <c r="D37" s="3">
        <v>1E-3</v>
      </c>
      <c r="E37" t="s">
        <v>11</v>
      </c>
    </row>
    <row r="38" spans="1:5" x14ac:dyDescent="0.2">
      <c r="A38" t="s">
        <v>47</v>
      </c>
      <c r="B38" s="3">
        <v>5.2999999999999999E-2</v>
      </c>
      <c r="C38" s="4" t="s">
        <v>8</v>
      </c>
      <c r="D38" s="3">
        <v>4.7E-2</v>
      </c>
      <c r="E38" t="s">
        <v>7</v>
      </c>
    </row>
    <row r="39" spans="1:5" x14ac:dyDescent="0.2">
      <c r="A39" t="s">
        <v>48</v>
      </c>
      <c r="B39" s="3">
        <v>0.92400000000000004</v>
      </c>
      <c r="D39" s="3">
        <v>0.92600000000000005</v>
      </c>
    </row>
    <row r="40" spans="1:5" x14ac:dyDescent="0.2">
      <c r="A40" t="s">
        <v>49</v>
      </c>
      <c r="B40" s="3">
        <v>1E-3</v>
      </c>
      <c r="C40" s="4" t="s">
        <v>11</v>
      </c>
      <c r="D40" s="3">
        <v>1E-3</v>
      </c>
      <c r="E40" t="s">
        <v>11</v>
      </c>
    </row>
    <row r="41" spans="1:5" x14ac:dyDescent="0.2">
      <c r="A41" t="s">
        <v>50</v>
      </c>
      <c r="B41" s="3">
        <v>2E-3</v>
      </c>
      <c r="C41" s="4" t="s">
        <v>51</v>
      </c>
      <c r="D41" s="3">
        <v>1E-3</v>
      </c>
      <c r="E41" t="s">
        <v>11</v>
      </c>
    </row>
    <row r="42" spans="1:5" x14ac:dyDescent="0.2">
      <c r="A42" t="s">
        <v>52</v>
      </c>
      <c r="B42" s="3">
        <v>1E-3</v>
      </c>
      <c r="C42" s="4" t="s">
        <v>11</v>
      </c>
      <c r="D42" s="3">
        <v>1E-3</v>
      </c>
      <c r="E42" t="s">
        <v>11</v>
      </c>
    </row>
    <row r="43" spans="1:5" x14ac:dyDescent="0.2">
      <c r="A43" t="s">
        <v>53</v>
      </c>
      <c r="B43" s="3">
        <v>0.17199999999999999</v>
      </c>
      <c r="D43" s="3">
        <v>0.14899999999999999</v>
      </c>
    </row>
    <row r="44" spans="1:5" x14ac:dyDescent="0.2">
      <c r="A44" t="s">
        <v>54</v>
      </c>
      <c r="B44" s="3">
        <v>3.1E-2</v>
      </c>
      <c r="C44" s="4" t="s">
        <v>7</v>
      </c>
      <c r="D44" s="3">
        <v>4.2000000000000003E-2</v>
      </c>
      <c r="E44" t="s">
        <v>7</v>
      </c>
    </row>
    <row r="45" spans="1:5" x14ac:dyDescent="0.2">
      <c r="A45" t="s">
        <v>55</v>
      </c>
      <c r="B45" s="3">
        <v>1E-3</v>
      </c>
      <c r="C45" s="4" t="s">
        <v>11</v>
      </c>
      <c r="D45" s="3">
        <v>1E-3</v>
      </c>
      <c r="E45" t="s">
        <v>11</v>
      </c>
    </row>
    <row r="46" spans="1:5" x14ac:dyDescent="0.2">
      <c r="A46" t="s">
        <v>56</v>
      </c>
      <c r="B46" s="3">
        <v>8.9999999999999993E-3</v>
      </c>
      <c r="C46" s="4" t="s">
        <v>51</v>
      </c>
      <c r="D46" s="3">
        <v>1.2E-2</v>
      </c>
      <c r="E46" t="s">
        <v>7</v>
      </c>
    </row>
    <row r="47" spans="1:5" x14ac:dyDescent="0.2">
      <c r="A47" t="s">
        <v>57</v>
      </c>
      <c r="B47" s="3">
        <v>8.9999999999999993E-3</v>
      </c>
      <c r="C47" s="4" t="s">
        <v>51</v>
      </c>
      <c r="D47" s="3">
        <v>1.7000000000000001E-2</v>
      </c>
      <c r="E47" t="s">
        <v>7</v>
      </c>
    </row>
    <row r="48" spans="1:5" x14ac:dyDescent="0.2">
      <c r="A48" t="s">
        <v>58</v>
      </c>
      <c r="B48" s="3">
        <v>1.7000000000000001E-2</v>
      </c>
      <c r="C48" s="4" t="s">
        <v>7</v>
      </c>
      <c r="D48" s="3">
        <v>8.0000000000000002E-3</v>
      </c>
      <c r="E48" t="s">
        <v>51</v>
      </c>
    </row>
    <row r="49" spans="1:51" x14ac:dyDescent="0.2">
      <c r="A49" t="s">
        <v>59</v>
      </c>
      <c r="B49" s="3">
        <v>1E-3</v>
      </c>
      <c r="C49" s="4" t="s">
        <v>11</v>
      </c>
      <c r="D49" s="3">
        <v>1E-3</v>
      </c>
      <c r="E49" t="s">
        <v>11</v>
      </c>
    </row>
    <row r="51" spans="1:51" x14ac:dyDescent="0.2">
      <c r="A51" t="s">
        <v>10</v>
      </c>
      <c r="B51" s="3">
        <v>1E-3</v>
      </c>
      <c r="C51" s="4" t="s">
        <v>11</v>
      </c>
      <c r="D51" s="3">
        <v>1E-3</v>
      </c>
      <c r="E51" t="s">
        <v>11</v>
      </c>
      <c r="P51" s="3">
        <v>1E-3</v>
      </c>
      <c r="Q51" t="s">
        <v>11</v>
      </c>
      <c r="R51" s="4">
        <v>0.56986000000000003</v>
      </c>
    </row>
    <row r="52" spans="1:51" s="50" customFormat="1" x14ac:dyDescent="0.2">
      <c r="A52" s="50" t="s">
        <v>100</v>
      </c>
      <c r="D52" s="51">
        <v>4.8000000000000001E-2</v>
      </c>
      <c r="E52" s="50" t="s">
        <v>7</v>
      </c>
      <c r="F52" s="52">
        <v>1.8380000000000001E-2</v>
      </c>
      <c r="G52" s="51"/>
      <c r="I52" s="52"/>
      <c r="J52" s="51"/>
      <c r="L52" s="52"/>
      <c r="P52" s="51"/>
      <c r="R52" s="52"/>
      <c r="S52" s="51"/>
      <c r="U52" s="52"/>
      <c r="V52" s="51"/>
      <c r="X52" s="52"/>
      <c r="AB52" s="51"/>
      <c r="AD52" s="52"/>
      <c r="AH52" s="51"/>
      <c r="AJ52" s="52"/>
      <c r="AN52" s="51"/>
      <c r="AP52" s="52"/>
      <c r="AT52" s="51"/>
      <c r="AV52" s="52"/>
      <c r="AW52" s="51"/>
      <c r="AY52" s="52"/>
    </row>
    <row r="53" spans="1:51" s="5" customFormat="1" x14ac:dyDescent="0.2">
      <c r="A53" s="5" t="s">
        <v>60</v>
      </c>
      <c r="B53" s="6">
        <v>0.47599999999999998</v>
      </c>
      <c r="C53" s="7"/>
      <c r="D53" s="6">
        <v>0.47499999999999998</v>
      </c>
      <c r="F53" s="7"/>
      <c r="G53" s="6">
        <v>0.28100000000000003</v>
      </c>
      <c r="I53" s="7">
        <v>6.0499999999999998E-3</v>
      </c>
      <c r="J53" s="6">
        <v>0.21199999999999999</v>
      </c>
      <c r="L53" s="7">
        <v>7.6099999999999996E-3</v>
      </c>
      <c r="M53" s="5">
        <v>0.26600000000000001</v>
      </c>
      <c r="O53" s="5">
        <v>6.2100000000000002E-3</v>
      </c>
      <c r="P53" s="6">
        <v>0.40500000000000003</v>
      </c>
      <c r="R53" s="7">
        <v>6.7799999999999996E-3</v>
      </c>
      <c r="S53" s="6">
        <v>0.21</v>
      </c>
      <c r="U53" s="7">
        <v>8.6099999999999996E-3</v>
      </c>
      <c r="V53" s="6">
        <v>0.33700000000000002</v>
      </c>
      <c r="X53" s="7">
        <v>7.3499999999999998E-3</v>
      </c>
      <c r="Y53" s="5">
        <v>0.26200000000000001</v>
      </c>
      <c r="AA53" s="5">
        <v>7.6400000000000001E-3</v>
      </c>
      <c r="AB53" s="6">
        <v>0.10199999999999999</v>
      </c>
      <c r="AD53" s="7">
        <v>9.5600000000000008E-3</v>
      </c>
      <c r="AE53" s="5">
        <v>9.0999999999999998E-2</v>
      </c>
      <c r="AF53" s="5" t="s">
        <v>8</v>
      </c>
      <c r="AG53" s="5">
        <v>1.0030000000000001E-2</v>
      </c>
      <c r="AJ53" s="7"/>
      <c r="AN53" s="6">
        <v>0.36699999999999999</v>
      </c>
      <c r="AP53" s="7">
        <v>6.3699999999999998E-3</v>
      </c>
      <c r="AQ53" s="5">
        <v>0.47399999999999998</v>
      </c>
      <c r="AS53" s="5">
        <v>5.0200000000000002E-3</v>
      </c>
      <c r="AT53" s="6">
        <v>0.55800000000000005</v>
      </c>
      <c r="AV53" s="7">
        <v>6.1799999999999997E-3</v>
      </c>
      <c r="AW53" s="6">
        <v>0.29199999999999998</v>
      </c>
      <c r="AY53" s="7">
        <v>7.7000000000000002E-3</v>
      </c>
    </row>
    <row r="54" spans="1:51" x14ac:dyDescent="0.2">
      <c r="A54" t="s">
        <v>62</v>
      </c>
      <c r="D54" s="3">
        <v>0.11799999999999999</v>
      </c>
    </row>
    <row r="55" spans="1:51" x14ac:dyDescent="0.2">
      <c r="A55" t="s">
        <v>63</v>
      </c>
      <c r="D55" s="3">
        <v>0.871</v>
      </c>
    </row>
    <row r="56" spans="1:51" x14ac:dyDescent="0.2">
      <c r="A56" t="s">
        <v>64</v>
      </c>
      <c r="D56" s="3">
        <v>0.80800000000000005</v>
      </c>
    </row>
    <row r="57" spans="1:51" x14ac:dyDescent="0.2">
      <c r="A57" t="s">
        <v>65</v>
      </c>
      <c r="D57" s="3">
        <v>0.128</v>
      </c>
    </row>
    <row r="58" spans="1:51" x14ac:dyDescent="0.2">
      <c r="A58" t="s">
        <v>66</v>
      </c>
      <c r="D58" s="3">
        <v>0.107</v>
      </c>
    </row>
    <row r="59" spans="1:51" x14ac:dyDescent="0.2">
      <c r="A59" t="s">
        <v>67</v>
      </c>
      <c r="D59" s="3">
        <v>0.72099999999999997</v>
      </c>
    </row>
    <row r="61" spans="1:51" x14ac:dyDescent="0.2">
      <c r="A61" t="s">
        <v>80</v>
      </c>
      <c r="D61" s="3">
        <v>0.96399999999999997</v>
      </c>
    </row>
    <row r="62" spans="1:51" x14ac:dyDescent="0.2">
      <c r="A62" t="s">
        <v>81</v>
      </c>
      <c r="D62" s="3">
        <v>0.92500000000000004</v>
      </c>
    </row>
    <row r="63" spans="1:51" x14ac:dyDescent="0.2">
      <c r="A63" t="s">
        <v>82</v>
      </c>
      <c r="D63" s="3">
        <v>0.31900000000000001</v>
      </c>
    </row>
    <row r="64" spans="1:51" x14ac:dyDescent="0.2">
      <c r="A64" t="s">
        <v>83</v>
      </c>
      <c r="C64" s="4" t="s">
        <v>8</v>
      </c>
      <c r="D64" s="3">
        <v>7.8E-2</v>
      </c>
    </row>
    <row r="65" spans="1:51" x14ac:dyDescent="0.2">
      <c r="A65" t="s">
        <v>85</v>
      </c>
    </row>
    <row r="66" spans="1:51" x14ac:dyDescent="0.2">
      <c r="A66" t="s">
        <v>69</v>
      </c>
      <c r="D66" s="3">
        <v>3.1E-2</v>
      </c>
      <c r="E66" t="s">
        <v>7</v>
      </c>
      <c r="J66" s="3">
        <v>1E-3</v>
      </c>
      <c r="K66" t="s">
        <v>11</v>
      </c>
      <c r="L66" s="4">
        <v>5.9459999999999999E-2</v>
      </c>
      <c r="S66" s="3">
        <v>2E-3</v>
      </c>
      <c r="T66" t="s">
        <v>51</v>
      </c>
      <c r="U66" s="4">
        <v>6.9379999999999997E-2</v>
      </c>
      <c r="AB66" s="3">
        <v>2E-3</v>
      </c>
      <c r="AC66" t="s">
        <v>51</v>
      </c>
      <c r="AD66" s="4">
        <v>5.7610000000000001E-2</v>
      </c>
      <c r="AE66">
        <v>0.05</v>
      </c>
      <c r="AF66" t="s">
        <v>7</v>
      </c>
      <c r="AG66">
        <v>3.422E-2</v>
      </c>
      <c r="AN66" s="3">
        <v>0.35699999999999998</v>
      </c>
      <c r="AP66" s="4">
        <v>2.248E-2</v>
      </c>
      <c r="AQ66">
        <v>0.41299999999999998</v>
      </c>
      <c r="AS66">
        <v>1.8509999999999999E-2</v>
      </c>
      <c r="AT66" s="3">
        <v>4.2999999999999997E-2</v>
      </c>
      <c r="AU66" t="s">
        <v>7</v>
      </c>
      <c r="AV66" s="4">
        <v>2.827E-2</v>
      </c>
      <c r="AW66" s="3">
        <v>0.63800000000000001</v>
      </c>
      <c r="AY66" s="4">
        <v>1.9060000000000001E-2</v>
      </c>
    </row>
    <row r="67" spans="1:51" x14ac:dyDescent="0.2">
      <c r="A67" t="s">
        <v>70</v>
      </c>
      <c r="D67" s="3">
        <v>0.76100000000000001</v>
      </c>
      <c r="J67" s="3">
        <v>0.754</v>
      </c>
      <c r="L67" s="4">
        <v>4.1200000000000004E-3</v>
      </c>
      <c r="S67" s="3">
        <v>0.71499999999999997</v>
      </c>
      <c r="U67" s="4">
        <v>4.62E-3</v>
      </c>
      <c r="AB67" s="3">
        <v>0.36099999999999999</v>
      </c>
      <c r="AD67" s="4">
        <v>8.0300000000000007E-3</v>
      </c>
      <c r="AE67">
        <v>0.184</v>
      </c>
      <c r="AG67">
        <v>1.0449999999999999E-2</v>
      </c>
      <c r="AN67" s="3">
        <v>0.92700000000000005</v>
      </c>
      <c r="AP67" s="4">
        <v>1.6100000000000001E-3</v>
      </c>
      <c r="AQ67">
        <v>0.80800000000000005</v>
      </c>
      <c r="AS67">
        <v>2.63E-3</v>
      </c>
      <c r="AT67" s="3">
        <v>0.46300000000000002</v>
      </c>
      <c r="AV67" s="4">
        <v>7.8600000000000007E-3</v>
      </c>
      <c r="AW67" s="3">
        <v>0.30599999999999999</v>
      </c>
      <c r="AY67" s="4">
        <v>1.0319999999999999E-2</v>
      </c>
    </row>
    <row r="69" spans="1:51" x14ac:dyDescent="0.2">
      <c r="A69" t="s">
        <v>71</v>
      </c>
      <c r="D69" s="3">
        <v>1E-3</v>
      </c>
      <c r="E69" t="s">
        <v>11</v>
      </c>
    </row>
    <row r="72" spans="1:51" s="5" customFormat="1" x14ac:dyDescent="0.2">
      <c r="A72" s="5" t="s">
        <v>62</v>
      </c>
      <c r="B72" s="6"/>
      <c r="C72" s="7"/>
      <c r="D72" s="6">
        <v>0.11799999999999999</v>
      </c>
      <c r="F72" s="7"/>
      <c r="G72" s="6">
        <v>0.10100000000000001</v>
      </c>
      <c r="I72" s="7">
        <v>1.451E-2</v>
      </c>
      <c r="J72" s="6">
        <v>1.9E-2</v>
      </c>
      <c r="K72" s="5" t="s">
        <v>7</v>
      </c>
      <c r="L72" s="7">
        <v>2.5669999999999998E-2</v>
      </c>
      <c r="M72" s="5">
        <v>1E-3</v>
      </c>
      <c r="N72" s="5" t="s">
        <v>11</v>
      </c>
      <c r="O72" s="5">
        <v>2.6780000000000002E-2</v>
      </c>
      <c r="P72" s="6">
        <v>0.59299999999999997</v>
      </c>
      <c r="R72" s="7">
        <v>1.001E-2</v>
      </c>
      <c r="S72" s="6">
        <v>2.1000000000000001E-2</v>
      </c>
      <c r="T72" s="5" t="s">
        <v>7</v>
      </c>
      <c r="U72" s="7">
        <v>3.0280000000000001E-2</v>
      </c>
      <c r="V72" s="6">
        <v>0.127</v>
      </c>
      <c r="X72" s="7">
        <v>1.3690000000000001E-2</v>
      </c>
      <c r="Y72" s="5">
        <v>0.81599999999999995</v>
      </c>
      <c r="AA72" s="5">
        <v>1.1299999999999999E-2</v>
      </c>
      <c r="AB72" s="6">
        <v>1E-3</v>
      </c>
      <c r="AC72" s="5" t="s">
        <v>11</v>
      </c>
      <c r="AD72" s="7">
        <v>3.5139999999999998E-2</v>
      </c>
      <c r="AE72" s="5">
        <v>0.01</v>
      </c>
      <c r="AF72" s="5" t="s">
        <v>51</v>
      </c>
      <c r="AG72" s="5">
        <v>2.5389999999999999E-2</v>
      </c>
      <c r="AH72" s="6"/>
      <c r="AJ72" s="7"/>
      <c r="AN72" s="6">
        <v>0.29199999999999998</v>
      </c>
      <c r="AP72" s="7">
        <v>1.44E-2</v>
      </c>
      <c r="AQ72" s="5">
        <v>0.252</v>
      </c>
      <c r="AS72" s="5">
        <v>1.566E-2</v>
      </c>
      <c r="AT72" s="6">
        <v>0.223</v>
      </c>
      <c r="AV72" s="7">
        <v>1.427E-2</v>
      </c>
      <c r="AW72" s="6">
        <v>0.96799999999999997</v>
      </c>
      <c r="AY72" s="7">
        <v>8.0700000000000008E-3</v>
      </c>
    </row>
    <row r="73" spans="1:51" s="5" customFormat="1" x14ac:dyDescent="0.2">
      <c r="A73" s="5" t="s">
        <v>72</v>
      </c>
      <c r="B73" s="6"/>
      <c r="C73" s="7"/>
      <c r="D73" s="6">
        <v>0.153</v>
      </c>
      <c r="F73" s="7"/>
      <c r="G73" s="6">
        <v>0.26800000000000002</v>
      </c>
      <c r="I73" s="7">
        <v>8.94E-3</v>
      </c>
      <c r="J73" s="6">
        <v>9.8000000000000004E-2</v>
      </c>
      <c r="K73" s="5" t="s">
        <v>8</v>
      </c>
      <c r="L73" s="7">
        <v>1.396E-2</v>
      </c>
      <c r="M73" s="5">
        <v>4.1000000000000002E-2</v>
      </c>
      <c r="N73" s="5" t="s">
        <v>7</v>
      </c>
      <c r="O73" s="5">
        <v>1.35E-2</v>
      </c>
      <c r="P73" s="6">
        <v>0.747</v>
      </c>
      <c r="R73" s="7">
        <v>6.2100000000000002E-3</v>
      </c>
      <c r="S73" s="6">
        <v>6.0999999999999999E-2</v>
      </c>
      <c r="T73" s="5" t="s">
        <v>8</v>
      </c>
      <c r="U73" s="7">
        <v>1.711E-2</v>
      </c>
      <c r="V73" s="6">
        <v>0.41399999999999998</v>
      </c>
      <c r="X73" s="7">
        <v>9.0200000000000002E-3</v>
      </c>
      <c r="Y73" s="5">
        <v>0.92800000000000005</v>
      </c>
      <c r="AA73" s="5">
        <v>8.1899999999999994E-3</v>
      </c>
      <c r="AB73" s="6">
        <v>7.0000000000000001E-3</v>
      </c>
      <c r="AC73" s="5" t="s">
        <v>51</v>
      </c>
      <c r="AD73" s="7">
        <v>2.308E-2</v>
      </c>
      <c r="AE73" s="6">
        <v>3.0000000000000001E-3</v>
      </c>
      <c r="AF73" s="5" t="s">
        <v>51</v>
      </c>
      <c r="AG73" s="5">
        <v>2.171E-2</v>
      </c>
      <c r="AH73" s="6"/>
      <c r="AJ73" s="7"/>
      <c r="AN73" s="6">
        <v>0.216</v>
      </c>
      <c r="AP73" s="7">
        <v>1.3220000000000001E-2</v>
      </c>
      <c r="AQ73" s="5">
        <v>0.17799999999999999</v>
      </c>
      <c r="AS73" s="5">
        <v>1.359E-2</v>
      </c>
      <c r="AT73" s="6">
        <v>0.14899999999999999</v>
      </c>
      <c r="AV73" s="7">
        <v>1.0959999999999999E-2</v>
      </c>
      <c r="AW73" s="6">
        <v>0.876</v>
      </c>
      <c r="AY73" s="7">
        <v>6.77E-3</v>
      </c>
    </row>
    <row r="74" spans="1:51" s="5" customFormat="1" x14ac:dyDescent="0.2">
      <c r="A74" s="5" t="s">
        <v>73</v>
      </c>
      <c r="B74" s="6"/>
      <c r="C74" s="7"/>
      <c r="D74" s="6">
        <v>0.65700000000000003</v>
      </c>
      <c r="F74" s="7"/>
      <c r="G74" s="6">
        <v>0.64100000000000001</v>
      </c>
      <c r="I74" s="7">
        <v>5.9500000000000004E-3</v>
      </c>
      <c r="J74" s="6">
        <v>0.432</v>
      </c>
      <c r="L74" s="7">
        <v>6.7799999999999996E-3</v>
      </c>
      <c r="M74" s="5">
        <v>0.378</v>
      </c>
      <c r="O74" s="5">
        <v>7.0299999999999998E-3</v>
      </c>
      <c r="P74" s="6">
        <v>0.43099999999999999</v>
      </c>
      <c r="R74" s="7">
        <v>7.6899999999999998E-3</v>
      </c>
      <c r="S74" s="6">
        <v>0.34300000000000003</v>
      </c>
      <c r="U74" s="7">
        <v>8.5299999999999994E-3</v>
      </c>
      <c r="V74" s="6">
        <v>0.58099999999999996</v>
      </c>
      <c r="X74" s="7">
        <v>7.5100000000000002E-3</v>
      </c>
      <c r="Y74" s="5">
        <v>0.48399999999999999</v>
      </c>
      <c r="AA74" s="5">
        <v>7.9799999999999992E-3</v>
      </c>
      <c r="AB74" s="6">
        <v>3.9E-2</v>
      </c>
      <c r="AC74" s="5" t="s">
        <v>7</v>
      </c>
      <c r="AD74" s="7">
        <v>1.4590000000000001E-2</v>
      </c>
      <c r="AE74" s="5">
        <v>3.5000000000000003E-2</v>
      </c>
      <c r="AF74" s="5" t="s">
        <v>7</v>
      </c>
      <c r="AG74" s="5">
        <v>1.393E-2</v>
      </c>
      <c r="AH74" s="6"/>
      <c r="AJ74" s="7"/>
      <c r="AN74" s="6">
        <v>0.42</v>
      </c>
      <c r="AP74" s="7">
        <v>7.3600000000000002E-3</v>
      </c>
      <c r="AQ74" s="5">
        <v>0.63900000000000001</v>
      </c>
      <c r="AS74" s="5">
        <v>4.4099999999999999E-3</v>
      </c>
      <c r="AT74" s="6">
        <v>0.498</v>
      </c>
      <c r="AV74" s="7">
        <v>7.6299999999999996E-3</v>
      </c>
      <c r="AW74" s="6">
        <v>0.40699999999999997</v>
      </c>
      <c r="AY74" s="7">
        <v>8.0800000000000004E-3</v>
      </c>
    </row>
    <row r="76" spans="1:51" x14ac:dyDescent="0.2">
      <c r="A76" t="s">
        <v>74</v>
      </c>
      <c r="D76" s="3">
        <v>7.9000000000000001E-2</v>
      </c>
      <c r="E76" t="s">
        <v>8</v>
      </c>
      <c r="J76" s="3">
        <v>0.11799999999999999</v>
      </c>
      <c r="L76" s="4">
        <v>2.2100000000000002E-2</v>
      </c>
      <c r="P76" s="3">
        <v>0.85899999999999999</v>
      </c>
      <c r="R76" s="4">
        <v>9.1699999999999993E-3</v>
      </c>
      <c r="S76" s="3">
        <v>0.13900000000000001</v>
      </c>
      <c r="U76" s="4">
        <v>2.5229999999999999E-2</v>
      </c>
      <c r="V76" s="3">
        <v>0.32900000000000001</v>
      </c>
      <c r="X76" s="4">
        <v>1.6389999999999998E-2</v>
      </c>
      <c r="Y76">
        <v>0.51900000000000002</v>
      </c>
      <c r="AA76">
        <v>1.567E-2</v>
      </c>
      <c r="AB76" s="3">
        <v>1.2E-2</v>
      </c>
      <c r="AC76" t="s">
        <v>7</v>
      </c>
      <c r="AD76" s="4">
        <v>3.4599999999999999E-2</v>
      </c>
      <c r="AE76">
        <v>0.01</v>
      </c>
      <c r="AF76" t="s">
        <v>51</v>
      </c>
      <c r="AG76">
        <v>3.3149999999999999E-2</v>
      </c>
      <c r="AN76" s="3">
        <v>0.34599999999999997</v>
      </c>
      <c r="AP76" s="4">
        <v>1.6500000000000001E-2</v>
      </c>
      <c r="AQ76">
        <v>0.111</v>
      </c>
      <c r="AS76">
        <v>2.8549999999999999E-2</v>
      </c>
      <c r="AT76" s="3">
        <v>0.60399999999999998</v>
      </c>
      <c r="AV76" s="4">
        <v>1.5140000000000001E-2</v>
      </c>
      <c r="AW76" s="3">
        <v>0.879</v>
      </c>
      <c r="AY76" s="4">
        <v>1.157E-2</v>
      </c>
    </row>
    <row r="77" spans="1:51" x14ac:dyDescent="0.2">
      <c r="A77" t="s">
        <v>75</v>
      </c>
      <c r="D77" s="3">
        <v>6.8000000000000005E-2</v>
      </c>
      <c r="J77" s="3">
        <v>0.13700000000000001</v>
      </c>
      <c r="L77" s="4">
        <v>1.5429999999999999E-2</v>
      </c>
      <c r="P77" s="3">
        <v>0.95399999999999996</v>
      </c>
      <c r="R77" s="4">
        <v>5.4599999999999996E-3</v>
      </c>
      <c r="S77" s="3">
        <v>0.14499999999999999</v>
      </c>
      <c r="U77" s="4">
        <v>1.695E-2</v>
      </c>
      <c r="V77" s="3">
        <v>0.65600000000000003</v>
      </c>
      <c r="X77" s="4">
        <v>1.0970000000000001E-2</v>
      </c>
      <c r="Y77">
        <v>0.871</v>
      </c>
      <c r="AA77">
        <v>1.094E-2</v>
      </c>
      <c r="AB77" s="3">
        <v>1.6E-2</v>
      </c>
      <c r="AC77" t="s">
        <v>7</v>
      </c>
      <c r="AD77" s="4">
        <v>2.4989999999999998E-2</v>
      </c>
      <c r="AE77">
        <v>6.0000000000000001E-3</v>
      </c>
      <c r="AF77" t="s">
        <v>51</v>
      </c>
      <c r="AG77">
        <v>2.768E-2</v>
      </c>
      <c r="AN77" s="3">
        <v>0.434</v>
      </c>
      <c r="AP77" s="4">
        <v>1.0370000000000001E-2</v>
      </c>
      <c r="AQ77">
        <v>0.113</v>
      </c>
      <c r="AS77">
        <v>2.0570000000000001E-2</v>
      </c>
      <c r="AT77" s="3">
        <v>0.21</v>
      </c>
      <c r="AV77" s="4">
        <v>1.337E-2</v>
      </c>
      <c r="AW77" s="3">
        <v>0.63700000000000001</v>
      </c>
      <c r="AY77" s="4">
        <v>1.0630000000000001E-2</v>
      </c>
    </row>
    <row r="78" spans="1:51" x14ac:dyDescent="0.2">
      <c r="A78" t="s">
        <v>76</v>
      </c>
      <c r="D78" s="3">
        <v>0.5</v>
      </c>
      <c r="J78" s="3">
        <v>0.57199999999999995</v>
      </c>
      <c r="L78" s="4">
        <v>7.4200000000000004E-3</v>
      </c>
      <c r="P78" s="3">
        <v>0.92500000000000004</v>
      </c>
      <c r="R78" s="4">
        <v>4.6800000000000001E-3</v>
      </c>
      <c r="S78" s="3">
        <v>0.6</v>
      </c>
      <c r="U78" s="4">
        <v>7.5199999999999998E-3</v>
      </c>
      <c r="V78" s="3">
        <v>0.92100000000000004</v>
      </c>
      <c r="X78" s="4">
        <v>8.6700000000000006E-3</v>
      </c>
      <c r="Y78">
        <v>0.68799999999999994</v>
      </c>
      <c r="AA78">
        <v>1.001E-2</v>
      </c>
      <c r="AB78" s="3">
        <v>0.188</v>
      </c>
      <c r="AD78" s="4">
        <v>1.3180000000000001E-2</v>
      </c>
      <c r="AE78">
        <v>6.6000000000000003E-2</v>
      </c>
      <c r="AF78" t="s">
        <v>8</v>
      </c>
      <c r="AG78">
        <v>1.677E-2</v>
      </c>
      <c r="AN78" s="3">
        <v>0.69399999999999995</v>
      </c>
      <c r="AP78" s="4">
        <v>5.3600000000000002E-3</v>
      </c>
      <c r="AQ78">
        <v>0.66500000000000004</v>
      </c>
      <c r="AS78">
        <v>5.3499999999999997E-3</v>
      </c>
      <c r="AT78" s="3">
        <v>0.51200000000000001</v>
      </c>
      <c r="AV78" s="4">
        <v>9.8099999999999993E-3</v>
      </c>
      <c r="AW78" s="3">
        <v>0.40699999999999997</v>
      </c>
      <c r="AY78" s="4">
        <v>1.085E-2</v>
      </c>
    </row>
    <row r="80" spans="1:51" x14ac:dyDescent="0.2">
      <c r="A80" t="s">
        <v>77</v>
      </c>
      <c r="D80" s="3">
        <v>9.5000000000000001E-2</v>
      </c>
      <c r="E80" t="s">
        <v>8</v>
      </c>
      <c r="J80" s="3">
        <v>1.9E-2</v>
      </c>
      <c r="K80" t="s">
        <v>7</v>
      </c>
      <c r="L80" s="4">
        <v>0.16309000000000001</v>
      </c>
      <c r="P80" s="3">
        <v>0.16300000000000001</v>
      </c>
      <c r="R80" s="4">
        <v>8.1769999999999995E-2</v>
      </c>
      <c r="S80" s="3">
        <v>1.7999999999999999E-2</v>
      </c>
      <c r="T80" t="s">
        <v>7</v>
      </c>
      <c r="U80" s="4">
        <v>0.16309000000000001</v>
      </c>
      <c r="V80" s="3">
        <v>0.16700000000000001</v>
      </c>
      <c r="X80" s="4">
        <v>6.3810000000000006E-2</v>
      </c>
      <c r="Y80">
        <v>0.68700000000000006</v>
      </c>
      <c r="AA80">
        <v>5.0869999999999999E-2</v>
      </c>
      <c r="AB80" s="3">
        <v>3.0000000000000001E-3</v>
      </c>
      <c r="AC80" t="s">
        <v>51</v>
      </c>
      <c r="AD80" s="4">
        <v>0.15479000000000001</v>
      </c>
      <c r="AE80">
        <v>0.42299999999999999</v>
      </c>
      <c r="AG80">
        <v>5.5539999999999999E-2</v>
      </c>
      <c r="AN80" s="3">
        <v>0.96499999999999997</v>
      </c>
      <c r="AP80" s="4">
        <v>1.12E-2</v>
      </c>
      <c r="AQ80">
        <v>0.96399999999999997</v>
      </c>
      <c r="AS80">
        <v>7.5199999999999998E-3</v>
      </c>
      <c r="AT80" s="3">
        <v>4.7E-2</v>
      </c>
      <c r="AU80" t="s">
        <v>7</v>
      </c>
      <c r="AV80" s="4">
        <v>8.0339999999999995E-2</v>
      </c>
      <c r="AW80" s="3">
        <v>0.78200000000000003</v>
      </c>
      <c r="AY80" s="4">
        <v>4.7460000000000002E-2</v>
      </c>
    </row>
    <row r="81" spans="1:51" x14ac:dyDescent="0.2">
      <c r="A81" t="s">
        <v>78</v>
      </c>
      <c r="D81" s="3">
        <v>0.113</v>
      </c>
      <c r="J81" s="3">
        <v>3.5000000000000003E-2</v>
      </c>
      <c r="K81" t="s">
        <v>7</v>
      </c>
      <c r="L81" s="4">
        <v>0.10222000000000001</v>
      </c>
      <c r="P81" s="3">
        <v>0.29499999999999998</v>
      </c>
      <c r="R81" s="4">
        <v>4.9239999999999999E-2</v>
      </c>
      <c r="S81" s="3">
        <v>2.5000000000000001E-2</v>
      </c>
      <c r="T81" t="s">
        <v>7</v>
      </c>
      <c r="U81" s="4">
        <v>0.10222000000000001</v>
      </c>
      <c r="V81" s="3">
        <v>0.33900000000000002</v>
      </c>
      <c r="X81" s="4">
        <v>4.3569999999999998E-2</v>
      </c>
      <c r="Y81">
        <v>0.81699999999999995</v>
      </c>
      <c r="AA81">
        <v>3.5180000000000003E-2</v>
      </c>
      <c r="AB81" s="3">
        <v>4.0000000000000001E-3</v>
      </c>
      <c r="AC81" t="s">
        <v>51</v>
      </c>
      <c r="AD81" s="4">
        <v>0.12564</v>
      </c>
      <c r="AE81">
        <v>0.27</v>
      </c>
      <c r="AG81">
        <v>4.6820000000000001E-2</v>
      </c>
      <c r="AN81" s="3">
        <v>0.54800000000000004</v>
      </c>
      <c r="AP81" s="4">
        <v>3.3489999999999999E-2</v>
      </c>
      <c r="AQ81">
        <v>0.91900000000000004</v>
      </c>
      <c r="AS81">
        <v>1.175E-2</v>
      </c>
      <c r="AT81" s="3">
        <v>1.9E-2</v>
      </c>
      <c r="AU81" t="s">
        <v>7</v>
      </c>
      <c r="AV81" s="4">
        <v>6.4579999999999999E-2</v>
      </c>
      <c r="AW81" s="3">
        <v>0.55000000000000004</v>
      </c>
      <c r="AY81" s="4">
        <v>3.671E-2</v>
      </c>
    </row>
    <row r="82" spans="1:51" x14ac:dyDescent="0.2">
      <c r="A82" t="s">
        <v>79</v>
      </c>
      <c r="D82" s="3">
        <v>2.5000000000000001E-2</v>
      </c>
      <c r="E82" t="s">
        <v>7</v>
      </c>
      <c r="J82" s="3">
        <v>6.0000000000000001E-3</v>
      </c>
      <c r="K82" t="s">
        <v>51</v>
      </c>
      <c r="L82" s="4">
        <v>0.11266</v>
      </c>
      <c r="P82" s="3">
        <v>0.45800000000000002</v>
      </c>
      <c r="R82" s="4">
        <v>3.4000000000000002E-2</v>
      </c>
      <c r="S82" s="3">
        <v>2E-3</v>
      </c>
      <c r="T82" t="s">
        <v>51</v>
      </c>
      <c r="U82" s="4">
        <v>0.11266</v>
      </c>
      <c r="V82" s="3">
        <v>5.2999999999999999E-2</v>
      </c>
      <c r="W82" t="s">
        <v>8</v>
      </c>
      <c r="X82" s="4">
        <v>4.231E-2</v>
      </c>
      <c r="Y82">
        <v>0.48899999999999999</v>
      </c>
      <c r="AA82">
        <v>3.3570000000000003E-2</v>
      </c>
      <c r="AB82" s="3">
        <v>3.0000000000000001E-3</v>
      </c>
      <c r="AC82" t="s">
        <v>51</v>
      </c>
      <c r="AD82" s="4">
        <v>0.13850999999999999</v>
      </c>
      <c r="AE82">
        <v>9.7000000000000003E-2</v>
      </c>
      <c r="AF82" t="s">
        <v>8</v>
      </c>
      <c r="AG82">
        <v>4.5490000000000003E-2</v>
      </c>
      <c r="AN82" s="3">
        <v>0.311</v>
      </c>
      <c r="AP82" s="4">
        <v>4.0349999999999997E-2</v>
      </c>
      <c r="AQ82">
        <v>0.499</v>
      </c>
      <c r="AS82">
        <v>2.18E-2</v>
      </c>
      <c r="AT82" s="3">
        <v>3.0000000000000001E-3</v>
      </c>
      <c r="AU82" t="s">
        <v>51</v>
      </c>
      <c r="AV82" s="4">
        <v>6.8459999999999993E-2</v>
      </c>
      <c r="AW82" s="3">
        <v>0.33900000000000002</v>
      </c>
      <c r="AY82" s="4">
        <v>3.4360000000000002E-2</v>
      </c>
    </row>
  </sheetData>
  <mergeCells count="18">
    <mergeCell ref="A1:A2"/>
    <mergeCell ref="B1:C1"/>
    <mergeCell ref="P1:R1"/>
    <mergeCell ref="V1:X1"/>
    <mergeCell ref="S1:U1"/>
    <mergeCell ref="J1:L1"/>
    <mergeCell ref="D1:F1"/>
    <mergeCell ref="G1:I1"/>
    <mergeCell ref="M1:O1"/>
    <mergeCell ref="AW1:AY1"/>
    <mergeCell ref="AQ1:AS1"/>
    <mergeCell ref="AN1:AP1"/>
    <mergeCell ref="AT1:AV1"/>
    <mergeCell ref="Y1:AA1"/>
    <mergeCell ref="AE1:AG1"/>
    <mergeCell ref="AK1:AM1"/>
    <mergeCell ref="AB1:AD1"/>
    <mergeCell ref="AH1:A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A5C7-3579-2D42-897F-6E543567F921}">
  <dimension ref="A1:AW155"/>
  <sheetViews>
    <sheetView zoomScale="115" workbookViewId="0">
      <pane xSplit="1" ySplit="2" topLeftCell="D3" activePane="bottomRight" state="frozen"/>
      <selection pane="topRight" activeCell="B1" sqref="B1"/>
      <selection pane="bottomLeft" activeCell="A3" sqref="A3"/>
      <selection pane="bottomRight" activeCell="G56" sqref="G56"/>
    </sheetView>
  </sheetViews>
  <sheetFormatPr baseColWidth="10" defaultRowHeight="16" x14ac:dyDescent="0.2"/>
  <cols>
    <col min="1" max="1" width="27.6640625" bestFit="1" customWidth="1"/>
    <col min="2" max="2" width="10.83203125" style="3"/>
    <col min="4" max="4" width="10.83203125" style="4"/>
    <col min="5" max="5" width="10.83203125" style="3"/>
    <col min="7" max="7" width="10.83203125" style="4"/>
    <col min="10" max="10" width="10.83203125" style="4"/>
    <col min="11" max="11" width="10.83203125" style="3"/>
    <col min="13" max="13" width="10.83203125" style="4"/>
    <col min="16" max="16" width="10.83203125" style="4"/>
    <col min="20" max="20" width="10.83203125" style="3"/>
    <col min="22" max="22" width="10.83203125" style="4"/>
    <col min="26" max="26" width="10.83203125" style="3"/>
    <col min="28" max="28" width="10.83203125" style="4"/>
    <col min="29" max="29" width="10.83203125" style="3"/>
    <col min="31" max="31" width="10.83203125" style="4"/>
    <col min="32" max="32" width="10.83203125" style="3"/>
    <col min="34" max="34" width="10.83203125" style="4"/>
    <col min="38" max="38" width="10.83203125" style="3"/>
    <col min="40" max="40" width="10.83203125" style="4"/>
    <col min="44" max="44" width="10.83203125" style="3"/>
    <col min="46" max="46" width="10.83203125" style="4"/>
    <col min="47" max="47" width="10.83203125" style="3"/>
    <col min="49" max="49" width="10.83203125" style="4"/>
  </cols>
  <sheetData>
    <row r="1" spans="1:49" x14ac:dyDescent="0.2">
      <c r="A1" s="89" t="s">
        <v>0</v>
      </c>
      <c r="B1" s="86" t="s">
        <v>160</v>
      </c>
      <c r="C1" s="87"/>
      <c r="D1" s="88"/>
      <c r="E1" s="83" t="s">
        <v>161</v>
      </c>
      <c r="F1" s="84"/>
      <c r="G1" s="85"/>
      <c r="H1" s="86" t="s">
        <v>162</v>
      </c>
      <c r="I1" s="87"/>
      <c r="J1" s="88"/>
      <c r="K1" s="83" t="s">
        <v>163</v>
      </c>
      <c r="L1" s="84"/>
      <c r="M1" s="85"/>
      <c r="N1" s="86" t="s">
        <v>130</v>
      </c>
      <c r="O1" s="87"/>
      <c r="P1" s="88"/>
      <c r="Q1" s="83" t="s">
        <v>133</v>
      </c>
      <c r="R1" s="84"/>
      <c r="S1" s="85"/>
      <c r="T1" s="86" t="s">
        <v>84</v>
      </c>
      <c r="U1" s="87"/>
      <c r="V1" s="88"/>
      <c r="W1" s="83" t="s">
        <v>95</v>
      </c>
      <c r="X1" s="84"/>
      <c r="Y1" s="85"/>
      <c r="Z1" s="86" t="s">
        <v>90</v>
      </c>
      <c r="AA1" s="87"/>
      <c r="AB1" s="88"/>
      <c r="AC1" s="83" t="s">
        <v>94</v>
      </c>
      <c r="AD1" s="84"/>
      <c r="AE1" s="85"/>
      <c r="AF1" s="86" t="s">
        <v>134</v>
      </c>
      <c r="AG1" s="87"/>
      <c r="AH1" s="88"/>
      <c r="AI1" s="83" t="s">
        <v>135</v>
      </c>
      <c r="AJ1" s="84"/>
      <c r="AK1" s="85"/>
      <c r="AL1" s="90" t="s">
        <v>86</v>
      </c>
      <c r="AM1" s="91"/>
      <c r="AN1" s="92"/>
      <c r="AO1" s="93" t="s">
        <v>96</v>
      </c>
      <c r="AP1" s="94"/>
      <c r="AQ1" s="95"/>
      <c r="AR1" s="90" t="s">
        <v>91</v>
      </c>
      <c r="AS1" s="91"/>
      <c r="AT1" s="92"/>
      <c r="AU1" s="93" t="s">
        <v>97</v>
      </c>
      <c r="AV1" s="94"/>
      <c r="AW1" s="95"/>
    </row>
    <row r="2" spans="1:49" x14ac:dyDescent="0.2">
      <c r="A2" s="89"/>
      <c r="B2" s="3" t="s">
        <v>6</v>
      </c>
      <c r="C2" t="s">
        <v>9</v>
      </c>
      <c r="D2" s="4" t="s">
        <v>5</v>
      </c>
      <c r="E2" s="8" t="s">
        <v>6</v>
      </c>
      <c r="F2" s="9" t="s">
        <v>9</v>
      </c>
      <c r="G2" s="10" t="s">
        <v>5</v>
      </c>
      <c r="H2" t="s">
        <v>6</v>
      </c>
      <c r="I2" t="s">
        <v>9</v>
      </c>
      <c r="J2" s="4" t="s">
        <v>5</v>
      </c>
      <c r="K2" s="8" t="s">
        <v>6</v>
      </c>
      <c r="L2" s="9" t="s">
        <v>9</v>
      </c>
      <c r="M2" s="10" t="s">
        <v>5</v>
      </c>
      <c r="N2" t="s">
        <v>6</v>
      </c>
      <c r="O2" t="s">
        <v>9</v>
      </c>
      <c r="P2" s="4" t="s">
        <v>5</v>
      </c>
      <c r="Q2" s="8" t="s">
        <v>6</v>
      </c>
      <c r="R2" s="9" t="s">
        <v>9</v>
      </c>
      <c r="S2" s="9" t="s">
        <v>5</v>
      </c>
      <c r="T2" s="3" t="s">
        <v>6</v>
      </c>
      <c r="U2" t="s">
        <v>9</v>
      </c>
      <c r="V2" s="4" t="s">
        <v>5</v>
      </c>
      <c r="W2" s="8" t="s">
        <v>6</v>
      </c>
      <c r="X2" s="9" t="s">
        <v>9</v>
      </c>
      <c r="Y2" s="10" t="s">
        <v>5</v>
      </c>
      <c r="Z2" s="3" t="s">
        <v>6</v>
      </c>
      <c r="AA2" t="s">
        <v>9</v>
      </c>
      <c r="AB2" s="4" t="s">
        <v>5</v>
      </c>
      <c r="AC2" s="8" t="s">
        <v>6</v>
      </c>
      <c r="AD2" s="9" t="s">
        <v>9</v>
      </c>
      <c r="AE2" s="10" t="s">
        <v>5</v>
      </c>
      <c r="AF2" s="3" t="s">
        <v>6</v>
      </c>
      <c r="AG2" t="s">
        <v>9</v>
      </c>
      <c r="AH2" s="4" t="s">
        <v>5</v>
      </c>
      <c r="AI2" s="9" t="s">
        <v>6</v>
      </c>
      <c r="AJ2" s="9" t="s">
        <v>9</v>
      </c>
      <c r="AK2" s="10" t="s">
        <v>5</v>
      </c>
      <c r="AL2" s="56" t="s">
        <v>6</v>
      </c>
      <c r="AM2" s="57" t="s">
        <v>9</v>
      </c>
      <c r="AN2" s="58" t="s">
        <v>5</v>
      </c>
      <c r="AO2" s="59" t="s">
        <v>6</v>
      </c>
      <c r="AP2" s="60" t="s">
        <v>9</v>
      </c>
      <c r="AQ2" s="61" t="s">
        <v>5</v>
      </c>
      <c r="AR2" s="56" t="s">
        <v>6</v>
      </c>
      <c r="AS2" s="57" t="s">
        <v>9</v>
      </c>
      <c r="AT2" s="58" t="s">
        <v>5</v>
      </c>
      <c r="AU2" s="59" t="s">
        <v>6</v>
      </c>
      <c r="AV2" s="60" t="s">
        <v>9</v>
      </c>
      <c r="AW2" s="61" t="s">
        <v>5</v>
      </c>
    </row>
    <row r="3" spans="1:49" s="27" customFormat="1" x14ac:dyDescent="0.2">
      <c r="A3" s="25" t="s">
        <v>99</v>
      </c>
      <c r="B3" s="26">
        <v>1E-3</v>
      </c>
      <c r="C3" s="27" t="s">
        <v>11</v>
      </c>
      <c r="D3" s="34">
        <v>3.4022351999999999E-2</v>
      </c>
      <c r="E3" s="26">
        <v>1E-3</v>
      </c>
      <c r="F3" s="27" t="s">
        <v>11</v>
      </c>
      <c r="G3" s="34">
        <v>2.4912309000000001E-2</v>
      </c>
      <c r="H3" s="26">
        <v>1E-3</v>
      </c>
      <c r="I3" s="27" t="s">
        <v>11</v>
      </c>
      <c r="J3" s="28">
        <v>5.1141585000000003E-2</v>
      </c>
      <c r="K3" s="26">
        <v>1E-3</v>
      </c>
      <c r="L3" s="27" t="s">
        <v>11</v>
      </c>
      <c r="M3" s="28">
        <v>3.6060174E-2</v>
      </c>
      <c r="N3" s="27">
        <v>1E-3</v>
      </c>
      <c r="O3" s="27" t="s">
        <v>11</v>
      </c>
      <c r="P3" s="28">
        <v>9.9570567792942807E-3</v>
      </c>
      <c r="Q3" s="27">
        <v>1E-3</v>
      </c>
      <c r="R3" s="27" t="s">
        <v>11</v>
      </c>
      <c r="S3" s="27">
        <v>1.17015193677612E-2</v>
      </c>
      <c r="T3" s="27">
        <v>1E-3</v>
      </c>
      <c r="U3" s="27" t="s">
        <v>11</v>
      </c>
      <c r="V3" s="28">
        <v>1.2513567E-2</v>
      </c>
      <c r="W3" s="27">
        <v>1E-3</v>
      </c>
      <c r="X3" s="27" t="s">
        <v>11</v>
      </c>
      <c r="Y3" s="27">
        <v>1.58964751087072E-2</v>
      </c>
      <c r="Z3" s="26">
        <v>1E-3</v>
      </c>
      <c r="AA3" s="27" t="s">
        <v>11</v>
      </c>
      <c r="AB3" s="28">
        <v>4.2701142999999997E-2</v>
      </c>
      <c r="AC3" s="26">
        <v>1E-3</v>
      </c>
      <c r="AD3" s="27" t="s">
        <v>11</v>
      </c>
      <c r="AE3" s="28">
        <v>4.0476131999999998E-2</v>
      </c>
      <c r="AF3" s="26">
        <v>1E-3</v>
      </c>
      <c r="AG3" s="27" t="s">
        <v>11</v>
      </c>
      <c r="AH3" s="28">
        <v>2.5985399999999999E-2</v>
      </c>
      <c r="AI3" s="26">
        <v>1E-3</v>
      </c>
      <c r="AJ3" s="27" t="s">
        <v>11</v>
      </c>
      <c r="AK3" s="27">
        <v>2.9235964999999999E-2</v>
      </c>
      <c r="AL3" s="26"/>
      <c r="AN3" s="28"/>
      <c r="AR3" s="26"/>
      <c r="AT3" s="28"/>
      <c r="AU3" s="26"/>
      <c r="AW3" s="28"/>
    </row>
    <row r="4" spans="1:49" x14ac:dyDescent="0.2">
      <c r="A4" s="11"/>
    </row>
    <row r="5" spans="1:49" s="22" customFormat="1" x14ac:dyDescent="0.2">
      <c r="A5" s="22" t="s">
        <v>12</v>
      </c>
      <c r="B5" s="23">
        <v>0.77</v>
      </c>
      <c r="D5" s="24">
        <v>4.5657670018493897E-3</v>
      </c>
      <c r="E5" s="23">
        <v>0.17</v>
      </c>
      <c r="G5" s="24">
        <v>7.4755688097411302E-3</v>
      </c>
      <c r="H5" s="22">
        <v>0.52700000000000002</v>
      </c>
      <c r="J5" s="24">
        <v>5.2166097836439003E-3</v>
      </c>
      <c r="K5" s="23">
        <v>0.253</v>
      </c>
      <c r="M5" s="24">
        <v>7.2742759633510901E-3</v>
      </c>
      <c r="N5" s="22">
        <v>0.99299999999999999</v>
      </c>
      <c r="P5" s="24">
        <v>4.6154898222227E-3</v>
      </c>
      <c r="Q5" s="22">
        <v>0.98399999999999999</v>
      </c>
      <c r="S5" s="22">
        <v>5.4307467763749498E-3</v>
      </c>
      <c r="T5" s="23">
        <v>0.97299999999999998</v>
      </c>
      <c r="V5" s="24">
        <v>4.6728141728847898E-3</v>
      </c>
      <c r="W5" s="22">
        <v>0.98499999999999999</v>
      </c>
      <c r="Y5" s="22">
        <v>5.1330371855611298E-3</v>
      </c>
      <c r="Z5" s="23">
        <v>0.96799999999999997</v>
      </c>
      <c r="AB5" s="24">
        <v>2.7187027786961799E-3</v>
      </c>
      <c r="AC5" s="23">
        <v>0.90700000000000003</v>
      </c>
      <c r="AE5" s="24">
        <v>4.3883198569838397E-3</v>
      </c>
      <c r="AF5" s="23">
        <v>0.998</v>
      </c>
      <c r="AH5" s="24">
        <v>2.9451388775657002E-3</v>
      </c>
      <c r="AI5" s="22">
        <v>0.995</v>
      </c>
      <c r="AK5" s="22">
        <v>4.1535361414977E-3</v>
      </c>
      <c r="AL5" s="23"/>
      <c r="AN5" s="24"/>
      <c r="AR5" s="23"/>
      <c r="AT5" s="24"/>
      <c r="AU5" s="23"/>
      <c r="AW5" s="24"/>
    </row>
    <row r="6" spans="1:49" s="22" customFormat="1" x14ac:dyDescent="0.2">
      <c r="A6" s="22" t="s">
        <v>13</v>
      </c>
      <c r="B6" s="23">
        <v>0.65200000000000002</v>
      </c>
      <c r="D6" s="24">
        <v>5.2066424692364397E-3</v>
      </c>
      <c r="E6" s="23">
        <v>0.32800000000000001</v>
      </c>
      <c r="G6" s="24">
        <v>6.4405703432858499E-3</v>
      </c>
      <c r="H6" s="22">
        <v>0.53500000000000003</v>
      </c>
      <c r="J6" s="24">
        <v>5.07256941364521E-3</v>
      </c>
      <c r="K6" s="23">
        <v>0.26700000000000002</v>
      </c>
      <c r="M6" s="24">
        <v>7.04194908276455E-3</v>
      </c>
      <c r="N6" s="22">
        <v>0.98</v>
      </c>
      <c r="P6" s="24">
        <v>5.0085390042540097E-3</v>
      </c>
      <c r="Q6" s="22">
        <v>0.97799999999999998</v>
      </c>
      <c r="S6" s="22">
        <v>5.4424528728463598E-3</v>
      </c>
      <c r="T6" s="23">
        <v>0.98699999999999999</v>
      </c>
      <c r="V6" s="24">
        <v>4.5564287828858598E-3</v>
      </c>
      <c r="W6" s="22">
        <v>0.997</v>
      </c>
      <c r="Y6" s="22">
        <v>4.8211585162688001E-3</v>
      </c>
      <c r="Z6" s="23">
        <v>0.89700000000000002</v>
      </c>
      <c r="AB6" s="24">
        <v>3.2686881842991398E-3</v>
      </c>
      <c r="AC6" s="23">
        <v>0.91200000000000003</v>
      </c>
      <c r="AE6" s="24">
        <v>4.4351944465280202E-3</v>
      </c>
      <c r="AF6" s="23">
        <v>0.96199999999999997</v>
      </c>
      <c r="AH6" s="24">
        <v>3.7437956677623401E-3</v>
      </c>
      <c r="AI6" s="22">
        <v>0.98499999999999999</v>
      </c>
      <c r="AK6" s="22">
        <v>4.2033163053913697E-3</v>
      </c>
      <c r="AL6" s="23"/>
      <c r="AN6" s="24"/>
      <c r="AR6" s="23"/>
      <c r="AT6" s="24"/>
      <c r="AU6" s="23"/>
      <c r="AW6" s="24"/>
    </row>
    <row r="7" spans="1:49" s="22" customFormat="1" x14ac:dyDescent="0.2">
      <c r="A7" s="22" t="s">
        <v>18</v>
      </c>
      <c r="B7" s="23">
        <v>0.20499999999999999</v>
      </c>
      <c r="D7" s="24">
        <v>8.2392160652438994E-3</v>
      </c>
      <c r="E7" s="23">
        <v>0.82099999999999995</v>
      </c>
      <c r="G7" s="24">
        <v>4.8972726607504503E-3</v>
      </c>
      <c r="H7" s="22">
        <v>0.63600000000000001</v>
      </c>
      <c r="J7" s="24">
        <v>4.6735603980697796E-3</v>
      </c>
      <c r="K7" s="23">
        <v>0.71699999999999997</v>
      </c>
      <c r="M7" s="24">
        <v>5.0530801649389303E-3</v>
      </c>
      <c r="N7" s="22">
        <v>0.63600000000000001</v>
      </c>
      <c r="P7" s="24">
        <v>6.6974458291601899E-3</v>
      </c>
      <c r="Q7" s="22">
        <v>0.44400000000000001</v>
      </c>
      <c r="S7" s="22">
        <v>7.1636758451308104E-3</v>
      </c>
      <c r="T7" s="23">
        <v>0.53200000000000003</v>
      </c>
      <c r="V7" s="24">
        <v>6.7086198655340098E-3</v>
      </c>
      <c r="W7" s="22">
        <v>0.54900000000000004</v>
      </c>
      <c r="Y7" s="22">
        <v>6.90999397415068E-3</v>
      </c>
      <c r="Z7" s="23">
        <v>0.112</v>
      </c>
      <c r="AB7" s="24">
        <v>9.2579269597786295E-3</v>
      </c>
      <c r="AC7" s="23">
        <v>0.435</v>
      </c>
      <c r="AE7" s="24">
        <v>6.97341711739445E-3</v>
      </c>
      <c r="AF7" s="23">
        <v>0.28199999999999997</v>
      </c>
      <c r="AH7" s="24">
        <v>6.8711929592474201E-3</v>
      </c>
      <c r="AI7" s="22">
        <v>0.93</v>
      </c>
      <c r="AK7" s="22">
        <v>5.4051473424729596E-3</v>
      </c>
      <c r="AL7" s="23"/>
      <c r="AN7" s="24"/>
      <c r="AR7" s="23"/>
      <c r="AT7" s="24"/>
      <c r="AU7" s="23"/>
      <c r="AW7" s="24"/>
    </row>
    <row r="8" spans="1:49" s="22" customFormat="1" x14ac:dyDescent="0.2">
      <c r="A8" s="22" t="s">
        <v>33</v>
      </c>
      <c r="B8" s="45">
        <v>0.88200000000000001</v>
      </c>
      <c r="D8" s="24">
        <v>4.0549330454363198E-3</v>
      </c>
      <c r="E8" s="23">
        <v>0.51500000000000001</v>
      </c>
      <c r="G8" s="24">
        <v>5.8545849512117798E-3</v>
      </c>
      <c r="H8" s="22">
        <v>0.55100000000000005</v>
      </c>
      <c r="J8" s="24">
        <v>5.3124844261579901E-3</v>
      </c>
      <c r="K8" s="23">
        <v>0.25700000000000001</v>
      </c>
      <c r="M8" s="24">
        <v>7.2337905024186999E-3</v>
      </c>
      <c r="N8" s="22">
        <v>0.70699999999999996</v>
      </c>
      <c r="P8" s="24">
        <v>6.5244775239875399E-3</v>
      </c>
      <c r="Q8" s="22">
        <v>0.38300000000000001</v>
      </c>
      <c r="S8" s="22">
        <v>7.28856867710438E-3</v>
      </c>
      <c r="T8" s="23">
        <v>0.33300000000000002</v>
      </c>
      <c r="V8" s="24">
        <v>7.3282662568191796E-3</v>
      </c>
      <c r="W8" s="22">
        <v>7.3999999999999996E-2</v>
      </c>
      <c r="X8" s="22" t="s">
        <v>8</v>
      </c>
      <c r="Y8" s="22">
        <v>8.45171861812055E-3</v>
      </c>
      <c r="Z8" s="23">
        <v>0.95299999999999996</v>
      </c>
      <c r="AB8" s="24">
        <v>2.9371780658876E-3</v>
      </c>
      <c r="AC8" s="23">
        <v>0.73499999999999999</v>
      </c>
      <c r="AE8" s="24">
        <v>5.5595377102181003E-3</v>
      </c>
      <c r="AF8" s="23">
        <v>0.80100000000000005</v>
      </c>
      <c r="AH8" s="24">
        <v>4.9713739241641196E-3</v>
      </c>
      <c r="AI8" s="22">
        <v>0.745</v>
      </c>
      <c r="AK8" s="22">
        <v>6.2437124889518003E-3</v>
      </c>
      <c r="AL8" s="23"/>
      <c r="AN8" s="24"/>
      <c r="AR8" s="23"/>
      <c r="AT8" s="24"/>
      <c r="AU8" s="23"/>
      <c r="AW8" s="24"/>
    </row>
    <row r="9" spans="1:49" s="22" customFormat="1" x14ac:dyDescent="0.2">
      <c r="A9" s="22" t="s">
        <v>30</v>
      </c>
      <c r="B9" s="23">
        <v>0.42899999999999999</v>
      </c>
      <c r="D9" s="24">
        <v>6.6022784373936201E-3</v>
      </c>
      <c r="E9" s="23">
        <v>0.9</v>
      </c>
      <c r="G9" s="24">
        <v>4.0635062750603197E-3</v>
      </c>
      <c r="H9" s="22">
        <v>0.41399999999999998</v>
      </c>
      <c r="J9" s="24">
        <v>6.0801913380037903E-3</v>
      </c>
      <c r="K9" s="23">
        <v>0.86199999999999999</v>
      </c>
      <c r="M9" s="24">
        <v>3.8124015696117501E-3</v>
      </c>
      <c r="N9" s="22">
        <v>0.93100000000000005</v>
      </c>
      <c r="P9" s="24">
        <v>4.9259540760741901E-3</v>
      </c>
      <c r="Q9" s="22">
        <v>0.95199999999999996</v>
      </c>
      <c r="S9" s="22">
        <v>5.12407410244541E-3</v>
      </c>
      <c r="T9" s="23">
        <v>0.997</v>
      </c>
      <c r="V9" s="24">
        <v>3.66376091389206E-3</v>
      </c>
      <c r="W9" s="22">
        <v>0.98499999999999999</v>
      </c>
      <c r="Y9" s="22">
        <v>4.6585185594409497E-3</v>
      </c>
      <c r="Z9" s="23">
        <v>0.32600000000000001</v>
      </c>
      <c r="AB9" s="24">
        <v>7.02815178210892E-3</v>
      </c>
      <c r="AC9" s="23">
        <v>0.54400000000000004</v>
      </c>
      <c r="AE9" s="24">
        <v>6.3109446995812902E-3</v>
      </c>
      <c r="AF9" s="23">
        <v>0.85799999999999998</v>
      </c>
      <c r="AH9" s="24">
        <v>4.3007639384942198E-3</v>
      </c>
      <c r="AI9" s="22">
        <v>0.69599999999999995</v>
      </c>
      <c r="AK9" s="22">
        <v>6.1162089734615802E-3</v>
      </c>
      <c r="AL9" s="23"/>
      <c r="AN9" s="24"/>
      <c r="AR9" s="23"/>
      <c r="AT9" s="24"/>
      <c r="AU9" s="23"/>
      <c r="AW9" s="24"/>
    </row>
    <row r="10" spans="1:49" s="22" customFormat="1" x14ac:dyDescent="0.2">
      <c r="A10" s="22" t="s">
        <v>100</v>
      </c>
      <c r="B10" s="23">
        <v>0.10299999999999999</v>
      </c>
      <c r="D10" s="24">
        <v>1.8070634935265201E-2</v>
      </c>
      <c r="E10" s="23">
        <v>1.0999999999999999E-2</v>
      </c>
      <c r="F10" s="22" t="s">
        <v>7</v>
      </c>
      <c r="G10" s="24">
        <v>1.7515394146568102E-2</v>
      </c>
      <c r="H10" s="22">
        <v>7.9000000000000001E-2</v>
      </c>
      <c r="I10" s="22" t="s">
        <v>8</v>
      </c>
      <c r="J10" s="24">
        <v>1.8566864746381501E-2</v>
      </c>
      <c r="K10" s="23">
        <v>0.26400000000000001</v>
      </c>
      <c r="M10" s="24">
        <v>1.37001109859763E-2</v>
      </c>
      <c r="N10" s="22">
        <v>4.0000000000000001E-3</v>
      </c>
      <c r="O10" s="22" t="s">
        <v>51</v>
      </c>
      <c r="P10" s="24">
        <v>2.05767360822511E-2</v>
      </c>
      <c r="Q10" s="22">
        <v>1E-3</v>
      </c>
      <c r="R10" s="22" t="s">
        <v>11</v>
      </c>
      <c r="S10" s="22">
        <v>2.07569584306549E-2</v>
      </c>
      <c r="T10" s="23">
        <v>3.0000000000000001E-3</v>
      </c>
      <c r="U10" s="22" t="s">
        <v>51</v>
      </c>
      <c r="V10" s="24">
        <v>2.0613371049265299E-2</v>
      </c>
      <c r="W10" s="22">
        <v>3.0000000000000001E-3</v>
      </c>
      <c r="X10" s="22" t="s">
        <v>51</v>
      </c>
      <c r="Y10" s="22">
        <v>1.8885567082265499E-2</v>
      </c>
      <c r="Z10" s="23">
        <v>0.13300000000000001</v>
      </c>
      <c r="AB10" s="24">
        <v>1.7091679703010398E-2</v>
      </c>
      <c r="AC10" s="23">
        <v>0.11899999999999999</v>
      </c>
      <c r="AE10" s="24">
        <v>1.7875849839624602E-2</v>
      </c>
      <c r="AF10" s="23">
        <v>0.19</v>
      </c>
      <c r="AH10" s="24">
        <v>1.4528061784844899E-2</v>
      </c>
      <c r="AI10" s="22">
        <v>6.6000000000000003E-2</v>
      </c>
      <c r="AJ10" s="22" t="s">
        <v>8</v>
      </c>
      <c r="AK10" s="22">
        <v>1.85651385234098E-2</v>
      </c>
      <c r="AL10" s="23"/>
      <c r="AN10" s="24"/>
      <c r="AR10" s="23"/>
      <c r="AT10" s="24"/>
      <c r="AU10" s="23"/>
      <c r="AW10" s="24"/>
    </row>
    <row r="12" spans="1:49" x14ac:dyDescent="0.2">
      <c r="A12" t="s">
        <v>44</v>
      </c>
      <c r="B12" s="3">
        <v>1E-3</v>
      </c>
      <c r="C12" t="s">
        <v>11</v>
      </c>
      <c r="D12" s="4">
        <v>4.0365166301482404E-3</v>
      </c>
      <c r="E12" s="3">
        <v>1E-3</v>
      </c>
      <c r="F12" t="s">
        <v>11</v>
      </c>
      <c r="G12" s="4">
        <v>1.3970340914765699E-3</v>
      </c>
      <c r="H12" s="3">
        <v>1E-3</v>
      </c>
      <c r="I12" t="s">
        <v>11</v>
      </c>
      <c r="J12" s="4">
        <v>5.1979371563344303E-3</v>
      </c>
      <c r="K12">
        <v>2E-3</v>
      </c>
      <c r="L12" t="s">
        <v>51</v>
      </c>
      <c r="M12" s="4">
        <v>2.1089183988068699E-3</v>
      </c>
      <c r="Q12">
        <v>0.222</v>
      </c>
      <c r="S12">
        <v>1.04996460711757E-3</v>
      </c>
      <c r="T12" s="3">
        <v>1E-3</v>
      </c>
      <c r="U12" t="s">
        <v>11</v>
      </c>
      <c r="V12" s="4">
        <v>1.54224877552342E-3</v>
      </c>
      <c r="W12">
        <v>0.154</v>
      </c>
      <c r="Y12">
        <v>1.17388256663022E-3</v>
      </c>
      <c r="Z12" s="3">
        <v>1E-3</v>
      </c>
      <c r="AA12" t="s">
        <v>11</v>
      </c>
      <c r="AB12" s="4">
        <v>3.3869102735784801E-3</v>
      </c>
      <c r="AC12" s="3">
        <v>1E-3</v>
      </c>
      <c r="AD12" t="s">
        <v>11</v>
      </c>
      <c r="AE12" s="4">
        <v>1.8106134676171999E-3</v>
      </c>
      <c r="AF12" s="3">
        <v>2E-3</v>
      </c>
      <c r="AG12" t="s">
        <v>51</v>
      </c>
      <c r="AH12" s="4">
        <v>2.3284331347425899E-3</v>
      </c>
      <c r="AI12" s="3">
        <v>1E-3</v>
      </c>
      <c r="AJ12" t="s">
        <v>11</v>
      </c>
      <c r="AK12">
        <v>1.3637972686205799E-3</v>
      </c>
    </row>
    <row r="13" spans="1:49" x14ac:dyDescent="0.2">
      <c r="A13" t="s">
        <v>46</v>
      </c>
      <c r="B13" s="3">
        <v>1E-3</v>
      </c>
      <c r="C13" t="s">
        <v>11</v>
      </c>
      <c r="D13" s="4">
        <v>5.3302331277840804E-3</v>
      </c>
      <c r="E13" s="3">
        <v>1E-3</v>
      </c>
      <c r="F13" t="s">
        <v>11</v>
      </c>
      <c r="G13" s="4">
        <v>8.7645068619203893E-3</v>
      </c>
      <c r="H13" s="3">
        <v>1E-3</v>
      </c>
      <c r="I13" t="s">
        <v>11</v>
      </c>
      <c r="J13" s="4">
        <v>6.1569458723011901E-3</v>
      </c>
      <c r="K13">
        <v>1E-3</v>
      </c>
      <c r="L13" t="s">
        <v>11</v>
      </c>
      <c r="M13" s="4">
        <v>8.1974833126280799E-3</v>
      </c>
      <c r="Q13">
        <v>1E-3</v>
      </c>
      <c r="R13" t="s">
        <v>11</v>
      </c>
      <c r="S13">
        <v>5.5087640806893998E-3</v>
      </c>
      <c r="T13" s="3">
        <v>1E-3</v>
      </c>
      <c r="U13" t="s">
        <v>11</v>
      </c>
      <c r="V13" s="4">
        <v>4.4079686845521901E-3</v>
      </c>
      <c r="W13">
        <v>1E-3</v>
      </c>
      <c r="X13" t="s">
        <v>11</v>
      </c>
      <c r="Y13">
        <v>5.52922243036844E-3</v>
      </c>
      <c r="Z13" s="3">
        <v>2E-3</v>
      </c>
      <c r="AA13" t="s">
        <v>51</v>
      </c>
      <c r="AB13" s="4">
        <v>2.9930636541711602E-3</v>
      </c>
      <c r="AC13" s="3">
        <v>1E-3</v>
      </c>
      <c r="AD13" t="s">
        <v>11</v>
      </c>
      <c r="AE13" s="4">
        <v>4.9955103708192398E-3</v>
      </c>
      <c r="AF13" s="3">
        <v>0.14699999999999999</v>
      </c>
      <c r="AH13" s="4">
        <v>2.95833705807697E-3</v>
      </c>
      <c r="AI13" s="3">
        <v>1E-3</v>
      </c>
      <c r="AJ13" t="s">
        <v>11</v>
      </c>
      <c r="AK13">
        <v>5.3100088814961397E-3</v>
      </c>
    </row>
    <row r="14" spans="1:49" s="27" customFormat="1" x14ac:dyDescent="0.2">
      <c r="A14" s="27" t="s">
        <v>101</v>
      </c>
      <c r="B14" s="26">
        <v>1E-3</v>
      </c>
      <c r="C14" s="27" t="s">
        <v>11</v>
      </c>
      <c r="D14" s="28">
        <v>3.3677658290909802E-2</v>
      </c>
      <c r="E14" s="26">
        <v>1E-3</v>
      </c>
      <c r="F14" s="27" t="s">
        <v>11</v>
      </c>
      <c r="G14" s="28">
        <v>2.16927508813212E-2</v>
      </c>
      <c r="H14" s="26">
        <v>1E-3</v>
      </c>
      <c r="I14" s="27" t="s">
        <v>11</v>
      </c>
      <c r="J14" s="28">
        <v>4.92728305704834E-2</v>
      </c>
      <c r="K14" s="27">
        <v>1E-3</v>
      </c>
      <c r="L14" s="27" t="s">
        <v>11</v>
      </c>
      <c r="M14" s="28">
        <v>3.3537739991087702E-2</v>
      </c>
      <c r="N14" s="27">
        <v>1E-3</v>
      </c>
      <c r="O14" s="27" t="s">
        <v>11</v>
      </c>
      <c r="P14" s="27">
        <v>1.1416260848666201E-2</v>
      </c>
      <c r="Q14" s="27">
        <v>1E-3</v>
      </c>
      <c r="R14" s="27" t="s">
        <v>11</v>
      </c>
      <c r="S14" s="27">
        <v>1.23138985674986E-2</v>
      </c>
      <c r="T14" s="26">
        <v>1E-3</v>
      </c>
      <c r="U14" s="27" t="s">
        <v>11</v>
      </c>
      <c r="V14" s="28">
        <v>1.3038174217065299E-2</v>
      </c>
      <c r="W14" s="27">
        <v>1E-3</v>
      </c>
      <c r="X14" s="27" t="s">
        <v>11</v>
      </c>
      <c r="Y14" s="27">
        <v>1.5579822370378501E-2</v>
      </c>
      <c r="Z14" s="26">
        <v>1E-3</v>
      </c>
      <c r="AA14" s="27" t="s">
        <v>11</v>
      </c>
      <c r="AB14" s="28">
        <v>3.9145085384137801E-2</v>
      </c>
      <c r="AC14" s="26">
        <v>1E-3</v>
      </c>
      <c r="AD14" s="27" t="s">
        <v>11</v>
      </c>
      <c r="AE14" s="28">
        <v>3.5360036710635499E-2</v>
      </c>
      <c r="AF14" s="26">
        <v>1E-3</v>
      </c>
      <c r="AG14" s="27" t="s">
        <v>11</v>
      </c>
      <c r="AH14" s="28">
        <v>2.4986518924842101E-2</v>
      </c>
      <c r="AI14" s="26">
        <v>1E-3</v>
      </c>
      <c r="AJ14" s="27" t="s">
        <v>11</v>
      </c>
      <c r="AK14" s="27">
        <v>2.6650084740555899E-2</v>
      </c>
      <c r="AL14" s="26"/>
      <c r="AN14" s="28"/>
      <c r="AR14" s="26"/>
      <c r="AT14" s="28"/>
      <c r="AU14" s="26"/>
      <c r="AW14" s="28"/>
    </row>
    <row r="15" spans="1:49" s="27" customFormat="1" x14ac:dyDescent="0.2">
      <c r="A15" s="27" t="s">
        <v>45</v>
      </c>
      <c r="B15" s="26">
        <v>1E-3</v>
      </c>
      <c r="C15" s="27" t="s">
        <v>11</v>
      </c>
      <c r="D15" s="28">
        <v>1.17079767627372E-2</v>
      </c>
      <c r="E15" s="26">
        <v>1E-3</v>
      </c>
      <c r="F15" s="27" t="s">
        <v>11</v>
      </c>
      <c r="G15" s="34">
        <v>1.54936128399561E-2</v>
      </c>
      <c r="H15" s="26">
        <v>1E-3</v>
      </c>
      <c r="I15" s="27" t="s">
        <v>11</v>
      </c>
      <c r="J15" s="28">
        <v>1.67833834135344E-2</v>
      </c>
      <c r="K15" s="27">
        <v>1E-3</v>
      </c>
      <c r="L15" s="27" t="s">
        <v>11</v>
      </c>
      <c r="M15" s="28">
        <v>1.7704406699562102E-2</v>
      </c>
      <c r="N15" s="27">
        <v>1E-3</v>
      </c>
      <c r="O15" s="27" t="s">
        <v>11</v>
      </c>
      <c r="P15" s="27">
        <v>8.0598411919164392E-3</v>
      </c>
      <c r="Q15" s="27">
        <v>1E-3</v>
      </c>
      <c r="R15" s="27" t="s">
        <v>11</v>
      </c>
      <c r="S15" s="27">
        <v>1.00304227815963E-2</v>
      </c>
      <c r="T15" s="26">
        <v>1E-3</v>
      </c>
      <c r="U15" s="27" t="s">
        <v>11</v>
      </c>
      <c r="V15" s="28">
        <v>8.2630948838359804E-3</v>
      </c>
      <c r="W15" s="27">
        <v>1E-3</v>
      </c>
      <c r="X15" s="27" t="s">
        <v>11</v>
      </c>
      <c r="Y15" s="27">
        <v>1.0352788639573399E-2</v>
      </c>
      <c r="Z15" s="26">
        <v>1E-3</v>
      </c>
      <c r="AA15" s="27" t="s">
        <v>11</v>
      </c>
      <c r="AB15" s="28">
        <v>9.3390906689547002E-3</v>
      </c>
      <c r="AC15" s="26">
        <v>1E-3</v>
      </c>
      <c r="AD15" s="27" t="s">
        <v>11</v>
      </c>
      <c r="AE15" s="28">
        <v>1.33574047708345E-2</v>
      </c>
      <c r="AF15" s="26">
        <v>1E-3</v>
      </c>
      <c r="AG15" s="27" t="s">
        <v>11</v>
      </c>
      <c r="AH15" s="28">
        <v>6.7816744387481902E-3</v>
      </c>
      <c r="AI15" s="26">
        <v>1E-3</v>
      </c>
      <c r="AJ15" s="27" t="s">
        <v>11</v>
      </c>
      <c r="AK15" s="27">
        <v>1.08383695476743E-2</v>
      </c>
      <c r="AL15" s="26"/>
      <c r="AN15" s="28"/>
      <c r="AR15" s="26"/>
      <c r="AT15" s="28"/>
      <c r="AU15" s="26"/>
      <c r="AW15" s="28"/>
    </row>
    <row r="17" spans="1:49" s="22" customFormat="1" x14ac:dyDescent="0.2">
      <c r="A17" s="44" t="s">
        <v>59</v>
      </c>
      <c r="B17" s="45">
        <v>1E-3</v>
      </c>
      <c r="C17" s="44" t="s">
        <v>11</v>
      </c>
      <c r="D17" s="46">
        <v>1.7240881389131001E-2</v>
      </c>
      <c r="E17" s="45">
        <v>1E-3</v>
      </c>
      <c r="F17" s="44" t="s">
        <v>11</v>
      </c>
      <c r="G17" s="46">
        <v>1.2094794482125099E-2</v>
      </c>
      <c r="H17" s="44">
        <v>1E-3</v>
      </c>
      <c r="I17" s="44" t="s">
        <v>11</v>
      </c>
      <c r="J17" s="46">
        <v>2.7306709098110199E-2</v>
      </c>
      <c r="K17" s="45">
        <v>1E-3</v>
      </c>
      <c r="L17" s="44" t="s">
        <v>11</v>
      </c>
      <c r="M17" s="46">
        <v>1.8736722627376301E-2</v>
      </c>
      <c r="N17" s="44">
        <v>1E-3</v>
      </c>
      <c r="O17" s="44" t="s">
        <v>11</v>
      </c>
      <c r="P17" s="46">
        <v>7.75911769288161E-3</v>
      </c>
      <c r="Q17" s="44">
        <v>1E-3</v>
      </c>
      <c r="R17" s="53" t="s">
        <v>11</v>
      </c>
      <c r="S17" s="44">
        <v>6.7802648303832399E-3</v>
      </c>
      <c r="T17" s="45">
        <v>1E-3</v>
      </c>
      <c r="U17" s="44" t="s">
        <v>11</v>
      </c>
      <c r="V17" s="46">
        <v>9.4233359808599398E-3</v>
      </c>
      <c r="W17" s="44">
        <v>1E-3</v>
      </c>
      <c r="X17" s="53" t="s">
        <v>11</v>
      </c>
      <c r="Y17" s="44">
        <v>8.6489386098351495E-3</v>
      </c>
      <c r="Z17" s="45">
        <v>1E-3</v>
      </c>
      <c r="AA17" s="44" t="s">
        <v>11</v>
      </c>
      <c r="AB17" s="46">
        <v>2.59678548733503E-2</v>
      </c>
      <c r="AC17" s="45">
        <v>1E-3</v>
      </c>
      <c r="AD17" s="44" t="s">
        <v>11</v>
      </c>
      <c r="AE17" s="46">
        <v>2.0238804960396199E-2</v>
      </c>
      <c r="AF17" s="23">
        <v>1E-3</v>
      </c>
      <c r="AG17" s="22" t="s">
        <v>11</v>
      </c>
      <c r="AH17" s="24">
        <v>1.6167895151769598E-2</v>
      </c>
      <c r="AI17" s="22">
        <v>1E-3</v>
      </c>
      <c r="AJ17" s="22" t="s">
        <v>11</v>
      </c>
      <c r="AK17" s="22">
        <v>1.5903134843032001E-2</v>
      </c>
      <c r="AL17" s="45"/>
      <c r="AM17" s="44"/>
      <c r="AN17" s="46"/>
      <c r="AO17" s="44"/>
      <c r="AP17" s="44"/>
      <c r="AQ17" s="44"/>
      <c r="AR17" s="45"/>
      <c r="AS17" s="44"/>
      <c r="AT17" s="46"/>
      <c r="AU17" s="44"/>
      <c r="AV17" s="44"/>
      <c r="AW17" s="46"/>
    </row>
    <row r="18" spans="1:49" s="22" customFormat="1" x14ac:dyDescent="0.2">
      <c r="A18" s="44" t="s">
        <v>52</v>
      </c>
      <c r="B18" s="45">
        <v>1E-3</v>
      </c>
      <c r="C18" s="44" t="s">
        <v>11</v>
      </c>
      <c r="D18" s="46">
        <v>1.31938503936003E-2</v>
      </c>
      <c r="E18" s="45">
        <v>1E-3</v>
      </c>
      <c r="F18" s="44" t="s">
        <v>11</v>
      </c>
      <c r="G18" s="46">
        <v>1.09598973106296E-2</v>
      </c>
      <c r="H18" s="44">
        <v>1E-3</v>
      </c>
      <c r="I18" s="44" t="s">
        <v>11</v>
      </c>
      <c r="J18" s="46">
        <v>1.7559837170593499E-2</v>
      </c>
      <c r="K18" s="45">
        <v>1E-3</v>
      </c>
      <c r="L18" s="44" t="s">
        <v>11</v>
      </c>
      <c r="M18" s="46">
        <v>1.6345655075839401E-2</v>
      </c>
      <c r="N18" s="44">
        <v>1E-3</v>
      </c>
      <c r="O18" s="44" t="s">
        <v>11</v>
      </c>
      <c r="P18" s="46">
        <v>6.0574530575449601E-3</v>
      </c>
      <c r="Q18" s="44">
        <v>1E-3</v>
      </c>
      <c r="R18" s="54" t="s">
        <v>11</v>
      </c>
      <c r="S18" s="44">
        <v>6.3429447121660498E-3</v>
      </c>
      <c r="T18" s="45">
        <v>1E-3</v>
      </c>
      <c r="U18" s="44" t="s">
        <v>11</v>
      </c>
      <c r="V18" s="46">
        <v>7.4542477930503604E-3</v>
      </c>
      <c r="W18" s="44">
        <v>1E-3</v>
      </c>
      <c r="X18" s="54" t="s">
        <v>11</v>
      </c>
      <c r="Y18" s="44">
        <v>8.0873192359223398E-3</v>
      </c>
      <c r="Z18" s="45">
        <v>1E-3</v>
      </c>
      <c r="AA18" s="44" t="s">
        <v>11</v>
      </c>
      <c r="AB18" s="46">
        <v>1.5899720907358E-2</v>
      </c>
      <c r="AC18" s="45">
        <v>1E-3</v>
      </c>
      <c r="AD18" s="44" t="s">
        <v>11</v>
      </c>
      <c r="AE18" s="46">
        <v>1.60570920422053E-2</v>
      </c>
      <c r="AF18" s="23">
        <v>1E-3</v>
      </c>
      <c r="AG18" s="22" t="s">
        <v>11</v>
      </c>
      <c r="AH18" s="24">
        <v>1.2123693740163199E-2</v>
      </c>
      <c r="AI18" s="22">
        <v>1E-3</v>
      </c>
      <c r="AJ18" s="22" t="s">
        <v>11</v>
      </c>
      <c r="AK18" s="22">
        <v>1.4070724944778E-2</v>
      </c>
      <c r="AL18" s="45"/>
      <c r="AM18" s="44"/>
      <c r="AN18" s="46"/>
      <c r="AO18" s="44"/>
      <c r="AP18" s="44"/>
      <c r="AQ18" s="44"/>
      <c r="AR18" s="45"/>
      <c r="AS18" s="44"/>
      <c r="AT18" s="46"/>
      <c r="AU18" s="44"/>
      <c r="AV18" s="44"/>
      <c r="AW18" s="46"/>
    </row>
    <row r="19" spans="1:49" s="15" customFormat="1" x14ac:dyDescent="0.2">
      <c r="A19" s="43" t="s">
        <v>57</v>
      </c>
      <c r="B19" s="38">
        <v>0.13300000000000001</v>
      </c>
      <c r="C19" s="43"/>
      <c r="D19" s="39">
        <v>2.92570073889659E-3</v>
      </c>
      <c r="E19" s="38">
        <v>1E-3</v>
      </c>
      <c r="F19" s="43" t="s">
        <v>11</v>
      </c>
      <c r="G19" s="39">
        <v>2.7943166722596102E-3</v>
      </c>
      <c r="H19" s="43">
        <v>3.0000000000000001E-3</v>
      </c>
      <c r="I19" s="43" t="s">
        <v>51</v>
      </c>
      <c r="J19" s="39">
        <v>4.8513995976096798E-3</v>
      </c>
      <c r="K19" s="38">
        <v>1E-3</v>
      </c>
      <c r="L19" s="43" t="s">
        <v>11</v>
      </c>
      <c r="M19" s="39">
        <v>3.9608625635423802E-3</v>
      </c>
      <c r="N19" s="43">
        <v>1.0999999999999999E-2</v>
      </c>
      <c r="O19" s="43" t="s">
        <v>7</v>
      </c>
      <c r="P19" s="39">
        <v>3.0911722740424598E-3</v>
      </c>
      <c r="Q19" s="43">
        <v>1E-3</v>
      </c>
      <c r="R19" s="55" t="s">
        <v>11</v>
      </c>
      <c r="S19" s="43">
        <v>2.8441721650677302E-3</v>
      </c>
      <c r="T19" s="38">
        <v>2E-3</v>
      </c>
      <c r="U19" s="43" t="s">
        <v>51</v>
      </c>
      <c r="V19" s="39">
        <v>3.0314502862898501E-3</v>
      </c>
      <c r="W19" s="43">
        <v>1E-3</v>
      </c>
      <c r="X19" s="55" t="s">
        <v>11</v>
      </c>
      <c r="Y19" s="43">
        <v>2.6647390181060901E-3</v>
      </c>
      <c r="Z19" s="38">
        <v>0.245</v>
      </c>
      <c r="AA19" s="43"/>
      <c r="AB19" s="39">
        <v>3.3283050160900799E-3</v>
      </c>
      <c r="AC19" s="38">
        <v>0.01</v>
      </c>
      <c r="AD19" s="43" t="s">
        <v>51</v>
      </c>
      <c r="AE19" s="39">
        <v>2.8001412351837899E-3</v>
      </c>
      <c r="AF19" s="48">
        <v>0.22700000000000001</v>
      </c>
      <c r="AH19" s="49">
        <v>2.4037425378324699E-3</v>
      </c>
      <c r="AI19" s="15">
        <v>1E-3</v>
      </c>
      <c r="AJ19" s="15" t="s">
        <v>11</v>
      </c>
      <c r="AK19" s="15">
        <v>3.0628350758980499E-3</v>
      </c>
      <c r="AL19" s="38"/>
      <c r="AM19" s="43"/>
      <c r="AN19" s="39"/>
      <c r="AO19" s="43"/>
      <c r="AP19" s="43"/>
      <c r="AQ19" s="43"/>
      <c r="AR19" s="38"/>
      <c r="AS19" s="43"/>
      <c r="AT19" s="39"/>
      <c r="AU19" s="43"/>
      <c r="AV19" s="43"/>
      <c r="AW19" s="39"/>
    </row>
    <row r="20" spans="1:49" s="22" customFormat="1" x14ac:dyDescent="0.2">
      <c r="A20" s="44" t="s">
        <v>56</v>
      </c>
      <c r="B20" s="45">
        <v>0.154</v>
      </c>
      <c r="C20" s="44"/>
      <c r="D20" s="46">
        <v>3.9324263509824204E-3</v>
      </c>
      <c r="E20" s="45">
        <v>1E-3</v>
      </c>
      <c r="F20" s="44" t="s">
        <v>11</v>
      </c>
      <c r="G20" s="46">
        <v>6.2897678543466602E-3</v>
      </c>
      <c r="H20" s="44">
        <v>0.11</v>
      </c>
      <c r="I20" s="44"/>
      <c r="J20" s="46">
        <v>4.1400046395250302E-3</v>
      </c>
      <c r="K20" s="45">
        <v>1E-3</v>
      </c>
      <c r="L20" s="44" t="s">
        <v>11</v>
      </c>
      <c r="M20" s="46">
        <v>7.0399158292392102E-3</v>
      </c>
      <c r="N20" s="44">
        <v>2E-3</v>
      </c>
      <c r="O20" s="44" t="s">
        <v>51</v>
      </c>
      <c r="P20" s="46">
        <v>4.1079207012877303E-3</v>
      </c>
      <c r="Q20" s="44">
        <v>1E-3</v>
      </c>
      <c r="R20" s="53" t="s">
        <v>11</v>
      </c>
      <c r="S20" s="44">
        <v>4.29421287148039E-3</v>
      </c>
      <c r="T20" s="45">
        <v>1E-3</v>
      </c>
      <c r="U20" s="44" t="s">
        <v>11</v>
      </c>
      <c r="V20" s="46">
        <v>4.7662548335310499E-3</v>
      </c>
      <c r="W20" s="44">
        <v>1E-3</v>
      </c>
      <c r="X20" s="53" t="s">
        <v>11</v>
      </c>
      <c r="Y20" s="44">
        <v>4.2692793480719202E-3</v>
      </c>
      <c r="Z20" s="45">
        <v>4.4999999999999998E-2</v>
      </c>
      <c r="AA20" s="44" t="s">
        <v>7</v>
      </c>
      <c r="AB20" s="46">
        <v>4.1656120686144899E-3</v>
      </c>
      <c r="AC20" s="45">
        <v>0.18</v>
      </c>
      <c r="AD20" s="44"/>
      <c r="AE20" s="46">
        <v>5.4319689817251297E-3</v>
      </c>
      <c r="AF20" s="23">
        <v>1E-3</v>
      </c>
      <c r="AG20" s="22" t="s">
        <v>11</v>
      </c>
      <c r="AH20" s="24">
        <v>4.3360670407826696E-3</v>
      </c>
      <c r="AI20" s="22">
        <v>1E-3</v>
      </c>
      <c r="AJ20" s="22" t="s">
        <v>11</v>
      </c>
      <c r="AK20" s="22">
        <v>4.9603212132252102E-3</v>
      </c>
      <c r="AL20" s="45"/>
      <c r="AM20" s="44"/>
      <c r="AN20" s="46"/>
      <c r="AO20" s="44"/>
      <c r="AP20" s="44"/>
      <c r="AQ20" s="44"/>
      <c r="AR20" s="45"/>
      <c r="AS20" s="44"/>
      <c r="AT20" s="46"/>
      <c r="AU20" s="44"/>
      <c r="AV20" s="44"/>
      <c r="AW20" s="46"/>
    </row>
    <row r="21" spans="1:49" s="15" customFormat="1" x14ac:dyDescent="0.2">
      <c r="A21" s="43" t="s">
        <v>55</v>
      </c>
      <c r="B21" s="38">
        <v>1E-3</v>
      </c>
      <c r="C21" s="43" t="s">
        <v>11</v>
      </c>
      <c r="D21" s="39">
        <v>4.8102120488029204E-3</v>
      </c>
      <c r="E21" s="38">
        <v>1E-3</v>
      </c>
      <c r="F21" s="43" t="s">
        <v>11</v>
      </c>
      <c r="G21" s="39">
        <v>4.61199526211331E-3</v>
      </c>
      <c r="H21" s="43">
        <v>1E-3</v>
      </c>
      <c r="I21" s="43" t="s">
        <v>11</v>
      </c>
      <c r="J21" s="39">
        <v>4.7386333713422598E-3</v>
      </c>
      <c r="K21" s="38">
        <v>1E-3</v>
      </c>
      <c r="L21" s="43" t="s">
        <v>11</v>
      </c>
      <c r="M21" s="39">
        <v>4.0970764758474004E-3</v>
      </c>
      <c r="N21" s="43">
        <v>1E-3</v>
      </c>
      <c r="O21" s="43" t="s">
        <v>11</v>
      </c>
      <c r="P21" s="39">
        <v>3.3858897177504298E-3</v>
      </c>
      <c r="Q21" s="43">
        <v>1E-3</v>
      </c>
      <c r="R21" s="55" t="s">
        <v>11</v>
      </c>
      <c r="S21" s="43">
        <v>4.6770514880502901E-3</v>
      </c>
      <c r="T21" s="38">
        <v>1E-3</v>
      </c>
      <c r="U21" s="43" t="s">
        <v>11</v>
      </c>
      <c r="V21" s="39">
        <v>2.6139608161615899E-3</v>
      </c>
      <c r="W21" s="43">
        <v>1E-3</v>
      </c>
      <c r="X21" s="55" t="s">
        <v>11</v>
      </c>
      <c r="Y21" s="43">
        <v>4.2082867139156301E-3</v>
      </c>
      <c r="Z21" s="38">
        <v>1E-3</v>
      </c>
      <c r="AA21" s="43" t="s">
        <v>11</v>
      </c>
      <c r="AB21" s="39">
        <v>4.4219008144911797E-3</v>
      </c>
      <c r="AC21" s="38">
        <v>1E-3</v>
      </c>
      <c r="AD21" s="43" t="s">
        <v>11</v>
      </c>
      <c r="AE21" s="39">
        <v>4.3281920434194302E-3</v>
      </c>
      <c r="AF21" s="48">
        <v>1E-3</v>
      </c>
      <c r="AG21" s="15" t="s">
        <v>11</v>
      </c>
      <c r="AH21" s="49">
        <v>3.6623973043704901E-3</v>
      </c>
      <c r="AI21" s="15">
        <v>1E-3</v>
      </c>
      <c r="AJ21" s="15" t="s">
        <v>11</v>
      </c>
      <c r="AK21" s="15">
        <v>4.7957565513759197E-3</v>
      </c>
      <c r="AL21" s="38"/>
      <c r="AM21" s="43"/>
      <c r="AN21" s="39"/>
      <c r="AO21" s="43"/>
      <c r="AP21" s="43"/>
      <c r="AQ21" s="43"/>
      <c r="AR21" s="38"/>
      <c r="AS21" s="43"/>
      <c r="AT21" s="39"/>
      <c r="AU21" s="43"/>
      <c r="AV21" s="43"/>
      <c r="AW21" s="39"/>
    </row>
    <row r="22" spans="1:49" s="22" customFormat="1" x14ac:dyDescent="0.2">
      <c r="A22" s="44" t="s">
        <v>58</v>
      </c>
      <c r="B22" s="45">
        <v>7.0999999999999994E-2</v>
      </c>
      <c r="C22" s="44" t="s">
        <v>8</v>
      </c>
      <c r="D22" s="46">
        <v>5.96769907475596E-3</v>
      </c>
      <c r="E22" s="45">
        <v>0.246</v>
      </c>
      <c r="F22" s="44"/>
      <c r="G22" s="46">
        <v>4.4245800863346001E-3</v>
      </c>
      <c r="H22" s="44">
        <v>1E-3</v>
      </c>
      <c r="I22" s="44" t="s">
        <v>11</v>
      </c>
      <c r="J22" s="46">
        <v>7.3621258782497903E-3</v>
      </c>
      <c r="K22" s="45">
        <v>0.89400000000000002</v>
      </c>
      <c r="L22" s="44"/>
      <c r="M22" s="46">
        <v>5.0155790412905804E-3</v>
      </c>
      <c r="N22" s="44">
        <v>1.4999999999999999E-2</v>
      </c>
      <c r="O22" s="44" t="s">
        <v>7</v>
      </c>
      <c r="P22" s="46">
        <v>5.4821028288601099E-3</v>
      </c>
      <c r="Q22" s="44">
        <v>0.83599999999999997</v>
      </c>
      <c r="R22" s="44"/>
      <c r="S22" s="44">
        <v>5.2759182611074196E-3</v>
      </c>
      <c r="T22" s="45">
        <v>3.5999999999999997E-2</v>
      </c>
      <c r="U22" s="44" t="s">
        <v>7</v>
      </c>
      <c r="V22" s="46">
        <v>5.65695141817404E-3</v>
      </c>
      <c r="W22" s="44">
        <v>0.878</v>
      </c>
      <c r="X22" s="44"/>
      <c r="Y22" s="44">
        <v>5.2873089735795999E-3</v>
      </c>
      <c r="Z22" s="45">
        <v>2E-3</v>
      </c>
      <c r="AA22" s="44" t="s">
        <v>51</v>
      </c>
      <c r="AB22" s="46">
        <v>7.9409296839006993E-3</v>
      </c>
      <c r="AC22" s="45">
        <v>0.57999999999999996</v>
      </c>
      <c r="AD22" s="44"/>
      <c r="AE22" s="46">
        <v>5.7448888479614702E-3</v>
      </c>
      <c r="AF22" s="23">
        <v>2E-3</v>
      </c>
      <c r="AG22" s="22" t="s">
        <v>51</v>
      </c>
      <c r="AH22" s="24">
        <v>5.8309369430633601E-3</v>
      </c>
      <c r="AI22" s="22">
        <v>0.95299999999999996</v>
      </c>
      <c r="AK22" s="22">
        <v>4.2222081257222502E-3</v>
      </c>
      <c r="AL22" s="45"/>
      <c r="AM22" s="44"/>
      <c r="AN22" s="46"/>
      <c r="AO22" s="44"/>
      <c r="AP22" s="44"/>
      <c r="AQ22" s="44"/>
      <c r="AR22" s="45"/>
      <c r="AS22" s="44"/>
      <c r="AT22" s="46"/>
      <c r="AU22" s="44"/>
      <c r="AV22" s="44"/>
      <c r="AW22" s="46"/>
    </row>
    <row r="23" spans="1:49" s="20" customFormat="1" x14ac:dyDescent="0.2">
      <c r="A23" s="40" t="s">
        <v>47</v>
      </c>
      <c r="B23" s="23">
        <v>1E-3</v>
      </c>
      <c r="C23" s="40" t="s">
        <v>11</v>
      </c>
      <c r="D23" s="42">
        <v>1.9837286141618201E-3</v>
      </c>
      <c r="E23" s="41">
        <v>1E-3</v>
      </c>
      <c r="F23" s="40" t="s">
        <v>11</v>
      </c>
      <c r="G23" s="42">
        <v>2.03107124813145E-3</v>
      </c>
      <c r="H23" s="40">
        <v>1E-3</v>
      </c>
      <c r="I23" s="40" t="s">
        <v>11</v>
      </c>
      <c r="J23" s="42">
        <v>2.1480397464311699E-3</v>
      </c>
      <c r="K23" s="41">
        <v>1E-3</v>
      </c>
      <c r="L23" s="40" t="s">
        <v>11</v>
      </c>
      <c r="M23" s="42">
        <v>2.3240871226292499E-3</v>
      </c>
      <c r="N23" s="40">
        <v>1E-3</v>
      </c>
      <c r="O23" s="44" t="s">
        <v>11</v>
      </c>
      <c r="P23" s="42">
        <v>3.0634040175429801E-3</v>
      </c>
      <c r="Q23" s="40">
        <v>1E-3</v>
      </c>
      <c r="R23" s="40" t="s">
        <v>11</v>
      </c>
      <c r="S23" s="40">
        <v>3.2596948465335699E-3</v>
      </c>
      <c r="T23" s="41">
        <v>1E-3</v>
      </c>
      <c r="U23" s="40" t="s">
        <v>11</v>
      </c>
      <c r="V23" s="42">
        <v>2.44918793735393E-3</v>
      </c>
      <c r="W23" s="40">
        <v>1E-3</v>
      </c>
      <c r="X23" s="40" t="s">
        <v>11</v>
      </c>
      <c r="Y23" s="40">
        <v>3.32076030309512E-3</v>
      </c>
      <c r="Z23" s="41">
        <v>0.01</v>
      </c>
      <c r="AA23" s="40" t="s">
        <v>51</v>
      </c>
      <c r="AB23" s="42">
        <v>2.5589303716441699E-3</v>
      </c>
      <c r="AC23" s="41">
        <v>1E-3</v>
      </c>
      <c r="AD23" s="40" t="s">
        <v>11</v>
      </c>
      <c r="AE23" s="42">
        <v>2.1450500281300099E-3</v>
      </c>
      <c r="AF23" s="19">
        <v>1E-3</v>
      </c>
      <c r="AG23" s="20" t="s">
        <v>11</v>
      </c>
      <c r="AH23" s="21">
        <v>2.7023999174757198E-3</v>
      </c>
      <c r="AI23" s="20">
        <v>8.0000000000000002E-3</v>
      </c>
      <c r="AJ23" s="20" t="s">
        <v>51</v>
      </c>
      <c r="AK23" s="20">
        <v>2.87974415119933E-3</v>
      </c>
      <c r="AL23" s="41"/>
      <c r="AM23" s="40"/>
      <c r="AN23" s="42"/>
      <c r="AO23" s="40"/>
      <c r="AP23" s="40"/>
      <c r="AQ23" s="40"/>
      <c r="AR23" s="41"/>
      <c r="AS23" s="40"/>
      <c r="AT23" s="42"/>
      <c r="AU23" s="40"/>
      <c r="AV23" s="40"/>
      <c r="AW23" s="42"/>
    </row>
    <row r="24" spans="1:49" s="22" customFormat="1" x14ac:dyDescent="0.2">
      <c r="A24" s="44" t="s">
        <v>48</v>
      </c>
      <c r="B24" s="45">
        <v>0.95499999999999996</v>
      </c>
      <c r="C24" s="44"/>
      <c r="D24" s="46">
        <v>6.6033127304488499E-4</v>
      </c>
      <c r="E24" s="45">
        <v>0.89900000000000002</v>
      </c>
      <c r="F24" s="44"/>
      <c r="G24" s="46">
        <v>9.0882672184347405E-4</v>
      </c>
      <c r="H24" s="44">
        <v>0.89500000000000002</v>
      </c>
      <c r="I24" s="44"/>
      <c r="J24" s="46">
        <v>6.5388090984859698E-4</v>
      </c>
      <c r="K24" s="45">
        <v>0.78</v>
      </c>
      <c r="L24" s="44"/>
      <c r="M24" s="46">
        <v>9.42880729486852E-4</v>
      </c>
      <c r="N24" s="44">
        <v>0.70099999999999996</v>
      </c>
      <c r="O24" s="44"/>
      <c r="P24" s="46">
        <v>9.5618454837156095E-4</v>
      </c>
      <c r="Q24" s="44">
        <v>0.45700000000000002</v>
      </c>
      <c r="R24" s="44"/>
      <c r="S24" s="44">
        <v>1.05139707897159E-3</v>
      </c>
      <c r="T24" s="45">
        <v>0.82299999999999995</v>
      </c>
      <c r="U24" s="44"/>
      <c r="V24" s="46">
        <v>1.0442741800788301E-3</v>
      </c>
      <c r="W24" s="44">
        <v>0.371</v>
      </c>
      <c r="X24" s="44"/>
      <c r="Y24" s="44">
        <v>1.1688936807049801E-3</v>
      </c>
      <c r="Z24" s="45">
        <v>0.71499999999999997</v>
      </c>
      <c r="AA24" s="44"/>
      <c r="AB24" s="46">
        <v>1.1177309185210001E-3</v>
      </c>
      <c r="AC24" s="45">
        <v>0.33200000000000002</v>
      </c>
      <c r="AD24" s="44"/>
      <c r="AE24" s="46">
        <v>1.28431055292208E-3</v>
      </c>
      <c r="AF24" s="23">
        <v>0.745</v>
      </c>
      <c r="AH24" s="24">
        <v>1.0456619444641001E-3</v>
      </c>
      <c r="AI24" s="22">
        <v>0.122</v>
      </c>
      <c r="AK24" s="22">
        <v>1.41664465299876E-3</v>
      </c>
      <c r="AL24" s="45"/>
      <c r="AM24" s="44"/>
      <c r="AN24" s="46"/>
      <c r="AO24" s="44"/>
      <c r="AP24" s="44"/>
      <c r="AQ24" s="44"/>
      <c r="AR24" s="45"/>
      <c r="AS24" s="44"/>
      <c r="AT24" s="46"/>
      <c r="AU24" s="44"/>
      <c r="AV24" s="44"/>
      <c r="AW24" s="46"/>
    </row>
    <row r="25" spans="1:49" s="15" customFormat="1" x14ac:dyDescent="0.2">
      <c r="A25" s="43" t="s">
        <v>49</v>
      </c>
      <c r="B25" s="38">
        <v>1E-3</v>
      </c>
      <c r="C25" s="43" t="s">
        <v>11</v>
      </c>
      <c r="D25" s="39">
        <v>5.0097745453725404E-3</v>
      </c>
      <c r="E25" s="38">
        <v>1E-3</v>
      </c>
      <c r="F25" s="43" t="s">
        <v>11</v>
      </c>
      <c r="G25" s="39">
        <v>5.4150521455983303E-3</v>
      </c>
      <c r="H25" s="43">
        <v>1E-3</v>
      </c>
      <c r="I25" s="43" t="s">
        <v>11</v>
      </c>
      <c r="J25" s="39">
        <v>7.6817061105372902E-3</v>
      </c>
      <c r="K25" s="38">
        <v>1E-3</v>
      </c>
      <c r="L25" s="43" t="s">
        <v>11</v>
      </c>
      <c r="M25" s="39">
        <v>6.3878699047301901E-3</v>
      </c>
      <c r="N25" s="43">
        <v>1E-3</v>
      </c>
      <c r="O25" s="43" t="s">
        <v>11</v>
      </c>
      <c r="P25" s="39">
        <v>4.7775716211424599E-3</v>
      </c>
      <c r="Q25" s="43">
        <v>1E-3</v>
      </c>
      <c r="R25" s="43" t="s">
        <v>11</v>
      </c>
      <c r="S25" s="43">
        <v>3.8615457630947602E-3</v>
      </c>
      <c r="T25" s="38">
        <v>1E-3</v>
      </c>
      <c r="U25" s="43" t="s">
        <v>11</v>
      </c>
      <c r="V25" s="39">
        <v>4.6566403051434401E-3</v>
      </c>
      <c r="W25" s="43">
        <v>1E-3</v>
      </c>
      <c r="X25" s="43" t="s">
        <v>11</v>
      </c>
      <c r="Y25" s="43">
        <v>4.2893240676912898E-3</v>
      </c>
      <c r="Z25" s="38">
        <v>1E-3</v>
      </c>
      <c r="AA25" s="43" t="s">
        <v>11</v>
      </c>
      <c r="AB25" s="39">
        <v>6.1104762593184904E-3</v>
      </c>
      <c r="AC25" s="38">
        <v>1E-3</v>
      </c>
      <c r="AD25" s="43" t="s">
        <v>11</v>
      </c>
      <c r="AE25" s="39">
        <v>5.7272739516716197E-3</v>
      </c>
      <c r="AF25" s="48">
        <v>1E-3</v>
      </c>
      <c r="AG25" s="15" t="s">
        <v>11</v>
      </c>
      <c r="AH25" s="49">
        <v>5.4915136483929001E-3</v>
      </c>
      <c r="AI25" s="15">
        <v>1E-3</v>
      </c>
      <c r="AJ25" s="15" t="s">
        <v>11</v>
      </c>
      <c r="AK25" s="15">
        <v>5.0861503179020096E-3</v>
      </c>
      <c r="AL25" s="38"/>
      <c r="AM25" s="43"/>
      <c r="AN25" s="39"/>
      <c r="AO25" s="43"/>
      <c r="AP25" s="43"/>
      <c r="AQ25" s="43"/>
      <c r="AR25" s="38"/>
      <c r="AS25" s="43"/>
      <c r="AT25" s="39"/>
      <c r="AU25" s="43"/>
      <c r="AV25" s="43"/>
      <c r="AW25" s="39"/>
    </row>
    <row r="26" spans="1:49" s="22" customFormat="1" x14ac:dyDescent="0.2">
      <c r="A26" s="46" t="s">
        <v>50</v>
      </c>
      <c r="B26" s="45">
        <v>4.4999999999999998E-2</v>
      </c>
      <c r="C26" s="44" t="s">
        <v>7</v>
      </c>
      <c r="D26" s="46">
        <v>6.2730797806903899E-3</v>
      </c>
      <c r="E26" s="45">
        <v>1.2999999999999999E-2</v>
      </c>
      <c r="F26" s="44" t="s">
        <v>7</v>
      </c>
      <c r="G26" s="46">
        <v>4.4288229095646604E-3</v>
      </c>
      <c r="H26" s="44">
        <v>9.2999999999999999E-2</v>
      </c>
      <c r="I26" s="44" t="s">
        <v>8</v>
      </c>
      <c r="J26" s="46">
        <v>8.0663557908875905E-3</v>
      </c>
      <c r="K26" s="45">
        <v>3.4000000000000002E-2</v>
      </c>
      <c r="L26" s="44" t="s">
        <v>7</v>
      </c>
      <c r="M26" s="46">
        <v>5.2556076173537096E-3</v>
      </c>
      <c r="N26" s="44">
        <v>7.2999999999999995E-2</v>
      </c>
      <c r="O26" s="44" t="s">
        <v>8</v>
      </c>
      <c r="P26" s="46">
        <v>4.6918002958035799E-3</v>
      </c>
      <c r="Q26" s="44">
        <v>0.56000000000000005</v>
      </c>
      <c r="R26" s="44"/>
      <c r="S26" s="44">
        <v>3.9196573560070997E-3</v>
      </c>
      <c r="T26" s="45">
        <v>5.6000000000000001E-2</v>
      </c>
      <c r="U26" s="44" t="s">
        <v>8</v>
      </c>
      <c r="V26" s="46">
        <v>4.9473537283720699E-3</v>
      </c>
      <c r="W26" s="44">
        <v>0.36</v>
      </c>
      <c r="X26" s="44"/>
      <c r="Y26" s="44">
        <v>4.4965883259251698E-3</v>
      </c>
      <c r="Z26" s="45">
        <v>1.9E-2</v>
      </c>
      <c r="AA26" s="44" t="s">
        <v>7</v>
      </c>
      <c r="AB26" s="46">
        <v>7.9494115793460399E-3</v>
      </c>
      <c r="AC26" s="45">
        <v>2.3E-2</v>
      </c>
      <c r="AD26" s="44" t="s">
        <v>7</v>
      </c>
      <c r="AE26" s="46">
        <v>4.4034183330413697E-3</v>
      </c>
      <c r="AF26" s="23">
        <v>0.26700000000000002</v>
      </c>
      <c r="AH26" s="24">
        <v>3.52741163841515E-3</v>
      </c>
      <c r="AI26" s="22">
        <v>0.22900000000000001</v>
      </c>
      <c r="AK26" s="22">
        <v>4.5587339989124898E-3</v>
      </c>
      <c r="AL26" s="45"/>
      <c r="AM26" s="44"/>
      <c r="AN26" s="46"/>
      <c r="AO26" s="44"/>
      <c r="AP26" s="44"/>
      <c r="AQ26" s="44"/>
      <c r="AR26" s="45"/>
      <c r="AS26" s="44"/>
      <c r="AT26" s="46"/>
      <c r="AU26" s="44"/>
      <c r="AV26" s="44"/>
      <c r="AW26" s="46"/>
    </row>
    <row r="27" spans="1:49" s="22" customFormat="1" x14ac:dyDescent="0.2">
      <c r="A27" s="44" t="s">
        <v>53</v>
      </c>
      <c r="B27" s="45">
        <v>0.83099999999999996</v>
      </c>
      <c r="C27" s="44"/>
      <c r="D27" s="46">
        <v>4.8910873475875001E-3</v>
      </c>
      <c r="E27" s="45">
        <v>1E-3</v>
      </c>
      <c r="F27" s="44" t="s">
        <v>11</v>
      </c>
      <c r="G27" s="46">
        <v>6.1531317589123601E-3</v>
      </c>
      <c r="H27" s="44">
        <v>0.70399999999999996</v>
      </c>
      <c r="I27" s="44"/>
      <c r="J27" s="46">
        <v>3.8625858062968799E-3</v>
      </c>
      <c r="K27" s="45">
        <v>1E-3</v>
      </c>
      <c r="L27" s="44" t="s">
        <v>11</v>
      </c>
      <c r="M27" s="46">
        <v>7.06966028381155E-3</v>
      </c>
      <c r="N27" s="44">
        <v>1E-3</v>
      </c>
      <c r="O27" s="44" t="s">
        <v>11</v>
      </c>
      <c r="P27" s="46">
        <v>6.2174444479902299E-3</v>
      </c>
      <c r="Q27" s="44">
        <v>1E-3</v>
      </c>
      <c r="R27" s="44" t="s">
        <v>11</v>
      </c>
      <c r="S27" s="44">
        <v>6.06663197692807E-3</v>
      </c>
      <c r="T27" s="45">
        <v>2E-3</v>
      </c>
      <c r="U27" s="44" t="s">
        <v>51</v>
      </c>
      <c r="V27" s="46">
        <v>6.6996008672576702E-3</v>
      </c>
      <c r="W27" s="44">
        <v>1E-3</v>
      </c>
      <c r="X27" s="44" t="s">
        <v>11</v>
      </c>
      <c r="Y27" s="44">
        <v>6.3064390128921002E-3</v>
      </c>
      <c r="Z27" s="45">
        <v>0.626</v>
      </c>
      <c r="AA27" s="44"/>
      <c r="AB27" s="46">
        <v>4.0783098295484998E-3</v>
      </c>
      <c r="AC27" s="45">
        <v>3.2000000000000001E-2</v>
      </c>
      <c r="AD27" s="44" t="s">
        <v>7</v>
      </c>
      <c r="AE27" s="46">
        <v>6.5221470031384303E-3</v>
      </c>
      <c r="AF27" s="23">
        <v>1.7999999999999999E-2</v>
      </c>
      <c r="AG27" s="22" t="s">
        <v>7</v>
      </c>
      <c r="AH27" s="24">
        <v>4.1155545436911897E-3</v>
      </c>
      <c r="AI27" s="22">
        <v>6.0000000000000001E-3</v>
      </c>
      <c r="AJ27" s="22" t="s">
        <v>51</v>
      </c>
      <c r="AK27" s="22">
        <v>6.6287472649129604E-3</v>
      </c>
      <c r="AL27" s="45"/>
      <c r="AM27" s="44"/>
      <c r="AN27" s="46"/>
      <c r="AO27" s="44"/>
      <c r="AP27" s="44"/>
      <c r="AQ27" s="44"/>
      <c r="AR27" s="45"/>
      <c r="AS27" s="44"/>
      <c r="AT27" s="46"/>
      <c r="AU27" s="44"/>
      <c r="AV27" s="44"/>
      <c r="AW27" s="46"/>
    </row>
    <row r="29" spans="1:49" s="29" customFormat="1" x14ac:dyDescent="0.2">
      <c r="A29" s="29" t="s">
        <v>124</v>
      </c>
      <c r="B29" s="30">
        <v>2E-3</v>
      </c>
      <c r="C29" s="27" t="s">
        <v>51</v>
      </c>
      <c r="D29" s="31">
        <v>4.9669794724116097E-3</v>
      </c>
      <c r="E29" s="30">
        <v>1E-3</v>
      </c>
      <c r="F29" s="29" t="s">
        <v>11</v>
      </c>
      <c r="G29" s="31">
        <v>3.5697419999999999E-3</v>
      </c>
      <c r="H29" s="29">
        <v>6.0000000000000001E-3</v>
      </c>
      <c r="I29" s="29" t="s">
        <v>51</v>
      </c>
      <c r="J29" s="31">
        <v>3.2053706020343498E-3</v>
      </c>
      <c r="K29" s="30">
        <v>3.0000000000000001E-3</v>
      </c>
      <c r="L29" s="29" t="s">
        <v>51</v>
      </c>
      <c r="M29" s="31">
        <v>3.0931009437725702E-3</v>
      </c>
      <c r="N29" s="29">
        <v>8.0000000000000002E-3</v>
      </c>
      <c r="O29" s="29" t="s">
        <v>51</v>
      </c>
      <c r="P29" s="31">
        <v>3.0199659999999998E-3</v>
      </c>
      <c r="Q29" s="29">
        <v>8.0000000000000002E-3</v>
      </c>
      <c r="R29" s="29" t="s">
        <v>51</v>
      </c>
      <c r="S29" s="29">
        <v>2.8074146273148501E-3</v>
      </c>
      <c r="T29" s="30">
        <v>1.2E-2</v>
      </c>
      <c r="U29" s="29" t="s">
        <v>7</v>
      </c>
      <c r="V29" s="31">
        <v>3.0254339967999699E-3</v>
      </c>
      <c r="W29" s="29">
        <v>2E-3</v>
      </c>
      <c r="X29" s="29" t="s">
        <v>51</v>
      </c>
      <c r="Y29" s="29">
        <v>3.0987741301943799E-3</v>
      </c>
      <c r="Z29" s="30">
        <v>3.0000000000000001E-3</v>
      </c>
      <c r="AA29" s="29" t="s">
        <v>51</v>
      </c>
      <c r="AB29" s="31">
        <v>2.4165622976545301E-3</v>
      </c>
      <c r="AC29" s="30">
        <v>2E-3</v>
      </c>
      <c r="AD29" s="29" t="s">
        <v>51</v>
      </c>
      <c r="AE29" s="31">
        <v>3.1940983679519201E-3</v>
      </c>
      <c r="AF29" s="30">
        <v>6.0000000000000001E-3</v>
      </c>
      <c r="AG29" s="29" t="s">
        <v>51</v>
      </c>
      <c r="AH29" s="31">
        <v>2.5930738638357599E-3</v>
      </c>
      <c r="AI29" s="29">
        <v>8.9999999999999993E-3</v>
      </c>
      <c r="AJ29" s="29" t="s">
        <v>51</v>
      </c>
      <c r="AK29" s="29">
        <v>2.6765169546325599E-3</v>
      </c>
      <c r="AL29" s="30"/>
      <c r="AN29" s="31"/>
      <c r="AR29" s="30"/>
      <c r="AT29" s="31"/>
      <c r="AU29" s="30"/>
      <c r="AW29" s="31"/>
    </row>
    <row r="30" spans="1:49" s="27" customFormat="1" x14ac:dyDescent="0.2">
      <c r="A30" s="27" t="s">
        <v>123</v>
      </c>
      <c r="B30" s="26">
        <v>0.97299999999999998</v>
      </c>
      <c r="D30" s="28">
        <v>2.4485879151141198E-3</v>
      </c>
      <c r="E30" s="26">
        <v>0.442</v>
      </c>
      <c r="G30" s="28">
        <v>2.0768280000000002E-3</v>
      </c>
      <c r="H30" s="27">
        <v>0.39600000000000002</v>
      </c>
      <c r="J30" s="28">
        <v>1.7709402676280999E-3</v>
      </c>
      <c r="K30" s="26">
        <v>0.40699999999999997</v>
      </c>
      <c r="M30" s="28">
        <v>2.3991026278899498E-3</v>
      </c>
      <c r="N30" s="27">
        <v>1</v>
      </c>
      <c r="P30" s="28">
        <v>3.840993E-3</v>
      </c>
      <c r="Q30" s="27">
        <v>0.77100000000000002</v>
      </c>
      <c r="S30" s="27">
        <v>3.8711676874299298E-3</v>
      </c>
      <c r="T30" s="26">
        <v>0.996</v>
      </c>
      <c r="V30" s="28">
        <v>3.8980969754336598E-3</v>
      </c>
      <c r="W30" s="27">
        <v>0.19600000000000001</v>
      </c>
      <c r="Y30" s="27">
        <v>3.5650524747834599E-3</v>
      </c>
      <c r="Z30" s="26">
        <v>1</v>
      </c>
      <c r="AB30" s="28">
        <v>2.1655962952915201E-3</v>
      </c>
      <c r="AC30" s="26">
        <v>6.8000000000000005E-2</v>
      </c>
      <c r="AD30" s="27" t="s">
        <v>8</v>
      </c>
      <c r="AE30" s="28">
        <v>3.3573005091420399E-3</v>
      </c>
      <c r="AF30" s="26">
        <v>0.36099999999999999</v>
      </c>
      <c r="AH30" s="28">
        <v>2.8323091464207899E-3</v>
      </c>
      <c r="AI30" s="27">
        <v>4.9000000000000002E-2</v>
      </c>
      <c r="AJ30" s="27" t="s">
        <v>7</v>
      </c>
      <c r="AK30" s="27">
        <v>3.4822436793297798E-3</v>
      </c>
      <c r="AL30" s="26"/>
      <c r="AN30" s="28"/>
      <c r="AR30" s="26"/>
      <c r="AT30" s="28"/>
      <c r="AU30" s="26"/>
      <c r="AW30" s="28"/>
    </row>
    <row r="31" spans="1:49" s="14" customFormat="1" x14ac:dyDescent="0.2">
      <c r="A31" s="14" t="s">
        <v>122</v>
      </c>
      <c r="B31" s="12">
        <v>0.97099999999999997</v>
      </c>
      <c r="D31" s="13">
        <v>4.8655996046148399E-3</v>
      </c>
      <c r="E31" s="12">
        <v>0.499</v>
      </c>
      <c r="G31" s="13">
        <v>4.6296169999999999E-3</v>
      </c>
      <c r="H31" s="14">
        <v>0.89300000000000002</v>
      </c>
      <c r="J31" s="13">
        <v>5.4150434344974402E-3</v>
      </c>
      <c r="K31" s="12">
        <v>0.71</v>
      </c>
      <c r="M31" s="13">
        <v>5.4785208001715702E-3</v>
      </c>
      <c r="N31" s="14">
        <v>1E-3</v>
      </c>
      <c r="O31" s="14" t="s">
        <v>11</v>
      </c>
      <c r="P31" s="13">
        <v>5.4197070000000002E-3</v>
      </c>
      <c r="Q31" s="14">
        <v>1E-3</v>
      </c>
      <c r="R31" s="14" t="s">
        <v>11</v>
      </c>
      <c r="S31" s="14">
        <v>5.6361285285903397E-3</v>
      </c>
      <c r="T31" s="12">
        <v>1E-3</v>
      </c>
      <c r="U31" s="14" t="s">
        <v>11</v>
      </c>
      <c r="V31" s="13">
        <v>5.8258390668853403E-3</v>
      </c>
      <c r="W31" s="14">
        <v>1E-3</v>
      </c>
      <c r="X31" s="14" t="s">
        <v>11</v>
      </c>
      <c r="Y31" s="14">
        <v>5.7300550598583296E-3</v>
      </c>
      <c r="Z31" s="12">
        <v>0.80500000000000005</v>
      </c>
      <c r="AB31" s="13">
        <v>4.8333827371211599E-3</v>
      </c>
      <c r="AC31" s="12">
        <v>1E-3</v>
      </c>
      <c r="AD31" s="14" t="s">
        <v>11</v>
      </c>
      <c r="AE31" s="13">
        <v>4.6578168454195499E-3</v>
      </c>
      <c r="AF31" s="12">
        <v>0.67700000000000005</v>
      </c>
      <c r="AH31" s="13">
        <v>3.3335272950140099E-3</v>
      </c>
      <c r="AI31" s="14">
        <v>1E-3</v>
      </c>
      <c r="AJ31" s="14" t="s">
        <v>11</v>
      </c>
      <c r="AK31" s="14">
        <v>3.79480156306259E-3</v>
      </c>
      <c r="AL31" s="12"/>
      <c r="AN31" s="13"/>
      <c r="AR31" s="12"/>
      <c r="AT31" s="13"/>
      <c r="AU31" s="12"/>
      <c r="AW31" s="13"/>
    </row>
    <row r="32" spans="1:49" s="27" customFormat="1" x14ac:dyDescent="0.2">
      <c r="A32" s="27" t="s">
        <v>121</v>
      </c>
      <c r="B32" s="26">
        <v>1E-3</v>
      </c>
      <c r="C32" s="27" t="s">
        <v>11</v>
      </c>
      <c r="D32" s="28">
        <v>6.34049775702654E-3</v>
      </c>
      <c r="E32" s="26">
        <v>1E-3</v>
      </c>
      <c r="F32" s="27" t="s">
        <v>11</v>
      </c>
      <c r="G32" s="28">
        <v>5.2167699999999999E-3</v>
      </c>
      <c r="H32" s="27">
        <v>1E-3</v>
      </c>
      <c r="I32" s="27" t="s">
        <v>11</v>
      </c>
      <c r="J32" s="28">
        <v>5.0523749739267501E-3</v>
      </c>
      <c r="K32" s="26">
        <v>3.0000000000000001E-3</v>
      </c>
      <c r="L32" s="27" t="s">
        <v>51</v>
      </c>
      <c r="M32" s="28">
        <v>4.5852631959256004E-3</v>
      </c>
      <c r="N32" s="27">
        <v>1E-3</v>
      </c>
      <c r="O32" s="27" t="s">
        <v>11</v>
      </c>
      <c r="P32" s="28">
        <v>6.7323319999999997E-3</v>
      </c>
      <c r="Q32" s="27">
        <v>1E-3</v>
      </c>
      <c r="R32" s="27" t="s">
        <v>11</v>
      </c>
      <c r="S32" s="27">
        <v>6.5970463664523603E-3</v>
      </c>
      <c r="T32" s="26">
        <v>1E-3</v>
      </c>
      <c r="U32" s="27" t="s">
        <v>11</v>
      </c>
      <c r="V32" s="28">
        <v>6.9200930969386398E-3</v>
      </c>
      <c r="W32" s="27">
        <v>1E-3</v>
      </c>
      <c r="X32" s="27" t="s">
        <v>11</v>
      </c>
      <c r="Y32" s="27">
        <v>7.1084106629820199E-3</v>
      </c>
      <c r="Z32" s="26">
        <v>1E-3</v>
      </c>
      <c r="AA32" s="27" t="s">
        <v>11</v>
      </c>
      <c r="AB32" s="28">
        <v>3.43223520636354E-3</v>
      </c>
      <c r="AC32" s="26">
        <v>2E-3</v>
      </c>
      <c r="AD32" s="27" t="s">
        <v>51</v>
      </c>
      <c r="AE32" s="28">
        <v>4.8007275214460203E-3</v>
      </c>
      <c r="AF32" s="26">
        <v>1E-3</v>
      </c>
      <c r="AG32" s="27" t="s">
        <v>11</v>
      </c>
      <c r="AH32" s="28">
        <v>5.3140165196895496E-3</v>
      </c>
      <c r="AI32" s="27">
        <v>1E-3</v>
      </c>
      <c r="AJ32" s="27" t="s">
        <v>11</v>
      </c>
      <c r="AK32" s="27">
        <v>5.5638220615506799E-3</v>
      </c>
      <c r="AL32" s="26"/>
      <c r="AN32" s="28"/>
      <c r="AR32" s="26"/>
      <c r="AT32" s="28"/>
      <c r="AU32" s="26"/>
      <c r="AW32" s="28"/>
    </row>
    <row r="33" spans="1:49" s="14" customFormat="1" x14ac:dyDescent="0.2">
      <c r="A33" s="14" t="s">
        <v>120</v>
      </c>
      <c r="B33" s="12">
        <v>2E-3</v>
      </c>
      <c r="C33" s="27" t="s">
        <v>51</v>
      </c>
      <c r="D33" s="13">
        <v>5.0997449598075596E-3</v>
      </c>
      <c r="E33" s="12">
        <v>1E-3</v>
      </c>
      <c r="F33" s="14" t="s">
        <v>11</v>
      </c>
      <c r="G33" s="13">
        <v>3.798933E-3</v>
      </c>
      <c r="H33" s="14">
        <v>1E-3</v>
      </c>
      <c r="I33" s="14" t="s">
        <v>11</v>
      </c>
      <c r="J33" s="13">
        <v>4.2624800856161903E-3</v>
      </c>
      <c r="K33" s="12">
        <v>1E-3</v>
      </c>
      <c r="L33" s="14" t="s">
        <v>11</v>
      </c>
      <c r="M33" s="13">
        <v>3.81361631167541E-3</v>
      </c>
      <c r="N33" s="14">
        <v>1E-3</v>
      </c>
      <c r="O33" s="14" t="s">
        <v>11</v>
      </c>
      <c r="P33" s="13">
        <v>4.4267120000000002E-3</v>
      </c>
      <c r="Q33" s="14">
        <v>1E-3</v>
      </c>
      <c r="R33" s="14" t="s">
        <v>11</v>
      </c>
      <c r="S33" s="14">
        <v>5.5240086066876198E-3</v>
      </c>
      <c r="T33" s="12">
        <v>1E-3</v>
      </c>
      <c r="U33" s="14" t="s">
        <v>11</v>
      </c>
      <c r="V33" s="13">
        <v>4.1843941540274203E-3</v>
      </c>
      <c r="W33" s="14">
        <v>1E-3</v>
      </c>
      <c r="X33" s="14" t="s">
        <v>11</v>
      </c>
      <c r="Y33" s="14">
        <v>5.4087825207055299E-3</v>
      </c>
      <c r="Z33" s="12">
        <v>1E-3</v>
      </c>
      <c r="AA33" s="14" t="s">
        <v>11</v>
      </c>
      <c r="AB33" s="13">
        <v>4.9634639569664796E-3</v>
      </c>
      <c r="AC33" s="12">
        <v>1E-3</v>
      </c>
      <c r="AD33" s="14" t="s">
        <v>11</v>
      </c>
      <c r="AE33" s="13">
        <v>5.2353580802573197E-3</v>
      </c>
      <c r="AF33" s="12">
        <v>1E-3</v>
      </c>
      <c r="AG33" s="14" t="s">
        <v>11</v>
      </c>
      <c r="AH33" s="13">
        <v>4.9401705954478696E-3</v>
      </c>
      <c r="AI33" s="14">
        <v>1E-3</v>
      </c>
      <c r="AJ33" s="14" t="s">
        <v>11</v>
      </c>
      <c r="AK33" s="14">
        <v>5.8267120806262604E-3</v>
      </c>
      <c r="AL33" s="12"/>
      <c r="AN33" s="13"/>
      <c r="AR33" s="12"/>
      <c r="AT33" s="13"/>
      <c r="AU33" s="12"/>
      <c r="AW33" s="13"/>
    </row>
    <row r="34" spans="1:49" s="27" customFormat="1" x14ac:dyDescent="0.2">
      <c r="A34" s="27" t="s">
        <v>119</v>
      </c>
      <c r="B34" s="26">
        <v>0.245</v>
      </c>
      <c r="D34" s="28">
        <v>3.0797834742442602E-3</v>
      </c>
      <c r="E34" s="26">
        <v>2E-3</v>
      </c>
      <c r="F34" s="27" t="s">
        <v>51</v>
      </c>
      <c r="G34" s="28">
        <v>3.1553430000000001E-3</v>
      </c>
      <c r="H34" s="27">
        <v>0.45900000000000002</v>
      </c>
      <c r="J34" s="28">
        <v>3.0022735084064699E-3</v>
      </c>
      <c r="K34" s="26">
        <v>0.93100000000000005</v>
      </c>
      <c r="M34" s="28">
        <v>2.6087311093131301E-3</v>
      </c>
      <c r="N34" s="27">
        <v>2E-3</v>
      </c>
      <c r="O34" s="27" t="s">
        <v>51</v>
      </c>
      <c r="P34" s="28">
        <v>3.3862689999999999E-3</v>
      </c>
      <c r="Q34" s="27">
        <v>1E-3</v>
      </c>
      <c r="R34" s="27" t="s">
        <v>11</v>
      </c>
      <c r="S34" s="27">
        <v>3.5874748966545E-3</v>
      </c>
      <c r="T34" s="26">
        <v>1.2999999999999999E-2</v>
      </c>
      <c r="U34" s="27" t="s">
        <v>7</v>
      </c>
      <c r="V34" s="28">
        <v>3.1461777897178501E-3</v>
      </c>
      <c r="W34" s="27">
        <v>1E-3</v>
      </c>
      <c r="X34" s="27" t="s">
        <v>11</v>
      </c>
      <c r="Y34" s="27">
        <v>3.66532002237123E-3</v>
      </c>
      <c r="Z34" s="26">
        <v>0.40300000000000002</v>
      </c>
      <c r="AB34" s="28">
        <v>3.5666949828611701E-3</v>
      </c>
      <c r="AC34" s="26">
        <v>5.2999999999999999E-2</v>
      </c>
      <c r="AD34" s="27" t="s">
        <v>8</v>
      </c>
      <c r="AE34" s="28">
        <v>3.26394949202726E-3</v>
      </c>
      <c r="AF34" s="26">
        <v>9.7000000000000003E-2</v>
      </c>
      <c r="AG34" s="27" t="s">
        <v>8</v>
      </c>
      <c r="AH34" s="28">
        <v>3.1512038791997499E-3</v>
      </c>
      <c r="AI34" s="27">
        <v>2E-3</v>
      </c>
      <c r="AJ34" s="27" t="s">
        <v>51</v>
      </c>
      <c r="AK34" s="27">
        <v>2.8865337807909099E-3</v>
      </c>
      <c r="AL34" s="26"/>
      <c r="AN34" s="28"/>
      <c r="AR34" s="26"/>
      <c r="AT34" s="28"/>
      <c r="AU34" s="26"/>
      <c r="AW34" s="28"/>
    </row>
    <row r="35" spans="1:49" s="14" customFormat="1" x14ac:dyDescent="0.2">
      <c r="A35" s="14" t="s">
        <v>118</v>
      </c>
      <c r="B35" s="12">
        <v>2E-3</v>
      </c>
      <c r="C35" s="27" t="s">
        <v>51</v>
      </c>
      <c r="D35" s="13">
        <v>3.0378125413692298E-3</v>
      </c>
      <c r="E35" s="12">
        <v>5.8999999999999997E-2</v>
      </c>
      <c r="F35" s="14" t="s">
        <v>8</v>
      </c>
      <c r="G35" s="13">
        <v>2.4698189999999998E-3</v>
      </c>
      <c r="H35" s="14">
        <v>1E-3</v>
      </c>
      <c r="I35" s="14" t="s">
        <v>11</v>
      </c>
      <c r="J35" s="13">
        <v>3.1728520526699599E-3</v>
      </c>
      <c r="K35" s="12">
        <v>0.124</v>
      </c>
      <c r="M35" s="13">
        <v>2.2186767818932899E-3</v>
      </c>
      <c r="N35" s="14">
        <v>1E-3</v>
      </c>
      <c r="O35" s="14" t="s">
        <v>11</v>
      </c>
      <c r="P35" s="13">
        <v>2.1912189999999999E-3</v>
      </c>
      <c r="Q35" s="14">
        <v>1.6E-2</v>
      </c>
      <c r="R35" s="14" t="s">
        <v>7</v>
      </c>
      <c r="S35" s="14">
        <v>1.9658577434845401E-3</v>
      </c>
      <c r="T35" s="12">
        <v>1E-3</v>
      </c>
      <c r="U35" s="14" t="s">
        <v>11</v>
      </c>
      <c r="V35" s="13">
        <v>2.6138231304818501E-3</v>
      </c>
      <c r="W35" s="14">
        <v>4.0000000000000001E-3</v>
      </c>
      <c r="X35" s="14" t="s">
        <v>51</v>
      </c>
      <c r="Y35" s="14">
        <v>2.2720714348088999E-3</v>
      </c>
      <c r="Z35" s="12">
        <v>1E-3</v>
      </c>
      <c r="AA35" s="14" t="s">
        <v>11</v>
      </c>
      <c r="AB35" s="13">
        <v>4.1507219312880601E-3</v>
      </c>
      <c r="AC35" s="12">
        <v>1E-3</v>
      </c>
      <c r="AD35" s="14" t="s">
        <v>11</v>
      </c>
      <c r="AE35" s="13">
        <v>3.0870687027009201E-3</v>
      </c>
      <c r="AF35" s="12">
        <v>1E-3</v>
      </c>
      <c r="AG35" s="14" t="s">
        <v>11</v>
      </c>
      <c r="AH35" s="13">
        <v>4.0978516386980801E-3</v>
      </c>
      <c r="AI35" s="14">
        <v>2E-3</v>
      </c>
      <c r="AJ35" s="14" t="s">
        <v>51</v>
      </c>
      <c r="AK35" s="14">
        <v>3.04214379894303E-3</v>
      </c>
      <c r="AL35" s="12"/>
      <c r="AN35" s="13"/>
      <c r="AR35" s="12"/>
      <c r="AT35" s="13"/>
      <c r="AU35" s="12"/>
      <c r="AW35" s="13"/>
    </row>
    <row r="36" spans="1:49" s="27" customFormat="1" x14ac:dyDescent="0.2">
      <c r="A36" s="27" t="s">
        <v>117</v>
      </c>
      <c r="B36" s="26">
        <v>5.0000000000000001E-3</v>
      </c>
      <c r="C36" s="27" t="s">
        <v>51</v>
      </c>
      <c r="D36" s="28">
        <v>2.9691555959618799E-3</v>
      </c>
      <c r="E36" s="26">
        <v>0.182</v>
      </c>
      <c r="G36" s="28">
        <v>3.3980759999999999E-3</v>
      </c>
      <c r="H36" s="27">
        <v>5.7000000000000002E-2</v>
      </c>
      <c r="I36" s="27" t="s">
        <v>8</v>
      </c>
      <c r="J36" s="28">
        <v>2.6504517876524401E-3</v>
      </c>
      <c r="K36" s="26">
        <v>0.112</v>
      </c>
      <c r="M36" s="28">
        <v>3.2226010067208399E-3</v>
      </c>
      <c r="N36" s="27">
        <v>0.1</v>
      </c>
      <c r="P36" s="28">
        <v>2.854859E-3</v>
      </c>
      <c r="Q36" s="27">
        <v>6.0000000000000001E-3</v>
      </c>
      <c r="R36" s="27" t="s">
        <v>51</v>
      </c>
      <c r="S36" s="27">
        <v>3.6803223027578802E-3</v>
      </c>
      <c r="T36" s="26">
        <v>0.05</v>
      </c>
      <c r="U36" s="27" t="s">
        <v>7</v>
      </c>
      <c r="V36" s="28">
        <v>2.9462543425690202E-3</v>
      </c>
      <c r="W36" s="27">
        <v>2E-3</v>
      </c>
      <c r="X36" s="27" t="s">
        <v>51</v>
      </c>
      <c r="Y36" s="27">
        <v>3.47359249260891E-3</v>
      </c>
      <c r="Z36" s="26">
        <v>2.8000000000000001E-2</v>
      </c>
      <c r="AA36" s="27" t="s">
        <v>11</v>
      </c>
      <c r="AB36" s="28">
        <v>2.0045218115851801E-3</v>
      </c>
      <c r="AC36" s="26">
        <v>5.1999999999999998E-2</v>
      </c>
      <c r="AD36" s="27" t="s">
        <v>8</v>
      </c>
      <c r="AE36" s="28">
        <v>2.58418748628381E-3</v>
      </c>
      <c r="AF36" s="26">
        <v>8.0000000000000002E-3</v>
      </c>
      <c r="AG36" s="27" t="s">
        <v>51</v>
      </c>
      <c r="AH36" s="28">
        <v>2.34213469150774E-3</v>
      </c>
      <c r="AI36" s="27">
        <v>8.8999999999999996E-2</v>
      </c>
      <c r="AJ36" s="27" t="s">
        <v>8</v>
      </c>
      <c r="AK36" s="27">
        <v>3.10862612888693E-3</v>
      </c>
      <c r="AL36" s="26"/>
      <c r="AN36" s="28"/>
      <c r="AR36" s="26"/>
      <c r="AT36" s="28"/>
      <c r="AU36" s="26"/>
      <c r="AW36" s="28"/>
    </row>
    <row r="37" spans="1:49" s="14" customFormat="1" x14ac:dyDescent="0.2">
      <c r="A37" s="14" t="s">
        <v>116</v>
      </c>
      <c r="B37" s="12">
        <v>1E-3</v>
      </c>
      <c r="C37" s="27" t="s">
        <v>11</v>
      </c>
      <c r="D37" s="13">
        <v>8.0604635619318105E-3</v>
      </c>
      <c r="E37" s="12">
        <v>1E-3</v>
      </c>
      <c r="F37" s="14" t="s">
        <v>11</v>
      </c>
      <c r="G37" s="13">
        <v>8.7377610000000001E-3</v>
      </c>
      <c r="H37" s="14">
        <v>1E-3</v>
      </c>
      <c r="I37" s="14" t="s">
        <v>11</v>
      </c>
      <c r="J37" s="13">
        <v>1.0146572027201E-2</v>
      </c>
      <c r="K37" s="12">
        <v>1E-3</v>
      </c>
      <c r="L37" s="14" t="s">
        <v>11</v>
      </c>
      <c r="M37" s="13">
        <v>1.3430939875103199E-2</v>
      </c>
      <c r="N37" s="14">
        <v>1E-3</v>
      </c>
      <c r="O37" s="14" t="s">
        <v>11</v>
      </c>
      <c r="P37" s="13">
        <v>5.5677039999999997E-3</v>
      </c>
      <c r="Q37" s="14">
        <v>1E-3</v>
      </c>
      <c r="R37" s="14" t="s">
        <v>11</v>
      </c>
      <c r="S37" s="14">
        <v>5.2215876571944497E-3</v>
      </c>
      <c r="T37" s="12">
        <v>1E-3</v>
      </c>
      <c r="U37" s="14" t="s">
        <v>11</v>
      </c>
      <c r="V37" s="13">
        <v>6.3946185757148702E-3</v>
      </c>
      <c r="W37" s="14">
        <v>1E-3</v>
      </c>
      <c r="X37" s="14" t="s">
        <v>11</v>
      </c>
      <c r="Y37" s="14">
        <v>5.6415847883737203E-3</v>
      </c>
      <c r="Z37" s="12">
        <v>1E-3</v>
      </c>
      <c r="AA37" s="14" t="s">
        <v>11</v>
      </c>
      <c r="AB37" s="13">
        <v>8.8385194927306909E-3</v>
      </c>
      <c r="AC37" s="12">
        <v>1E-3</v>
      </c>
      <c r="AD37" s="14" t="s">
        <v>11</v>
      </c>
      <c r="AE37" s="13">
        <v>9.6951216694178E-3</v>
      </c>
      <c r="AF37" s="12">
        <v>1E-3</v>
      </c>
      <c r="AG37" s="14" t="s">
        <v>11</v>
      </c>
      <c r="AH37" s="13">
        <v>7.0332693958259102E-3</v>
      </c>
      <c r="AI37" s="14">
        <v>1E-3</v>
      </c>
      <c r="AJ37" s="14" t="s">
        <v>11</v>
      </c>
      <c r="AK37" s="14">
        <v>8.1813325822751096E-3</v>
      </c>
      <c r="AL37" s="12"/>
      <c r="AN37" s="13"/>
      <c r="AR37" s="12"/>
      <c r="AT37" s="13"/>
      <c r="AU37" s="12"/>
      <c r="AW37" s="13"/>
    </row>
    <row r="38" spans="1:49" s="27" customFormat="1" x14ac:dyDescent="0.2">
      <c r="A38" s="27" t="s">
        <v>115</v>
      </c>
      <c r="B38" s="26">
        <v>1E-3</v>
      </c>
      <c r="C38" s="27" t="s">
        <v>11</v>
      </c>
      <c r="D38" s="28">
        <v>3.5982579703561302E-3</v>
      </c>
      <c r="E38" s="26">
        <v>1E-3</v>
      </c>
      <c r="F38" s="27" t="s">
        <v>11</v>
      </c>
      <c r="G38" s="28">
        <v>4.1447029999999996E-3</v>
      </c>
      <c r="H38" s="27">
        <v>1E-3</v>
      </c>
      <c r="I38" s="27" t="s">
        <v>11</v>
      </c>
      <c r="J38" s="28">
        <v>4.1881284520976997E-3</v>
      </c>
      <c r="K38" s="26">
        <v>2E-3</v>
      </c>
      <c r="L38" s="27" t="s">
        <v>51</v>
      </c>
      <c r="M38" s="28">
        <v>4.4925099019681898E-3</v>
      </c>
      <c r="N38" s="27">
        <v>4.0000000000000001E-3</v>
      </c>
      <c r="O38" s="27" t="s">
        <v>51</v>
      </c>
      <c r="P38" s="28">
        <v>3.7194429999999998E-3</v>
      </c>
      <c r="Q38" s="27">
        <v>4.3999999999999997E-2</v>
      </c>
      <c r="R38" s="27" t="s">
        <v>7</v>
      </c>
      <c r="S38" s="27">
        <v>3.9820878763129402E-3</v>
      </c>
      <c r="T38" s="26">
        <v>0.01</v>
      </c>
      <c r="U38" s="27" t="s">
        <v>51</v>
      </c>
      <c r="V38" s="28">
        <v>3.4233653712499299E-3</v>
      </c>
      <c r="W38" s="27">
        <v>1E-3</v>
      </c>
      <c r="X38" s="27" t="s">
        <v>11</v>
      </c>
      <c r="Y38" s="27">
        <v>3.7213044404119499E-3</v>
      </c>
      <c r="Z38" s="26">
        <v>1E-3</v>
      </c>
      <c r="AA38" s="27" t="s">
        <v>11</v>
      </c>
      <c r="AB38" s="28">
        <v>3.9357998249021399E-3</v>
      </c>
      <c r="AC38" s="26">
        <v>1E-3</v>
      </c>
      <c r="AD38" s="27" t="s">
        <v>11</v>
      </c>
      <c r="AE38" s="28">
        <v>4.2336166582688699E-3</v>
      </c>
      <c r="AF38" s="26">
        <v>1E-3</v>
      </c>
      <c r="AG38" s="27" t="s">
        <v>11</v>
      </c>
      <c r="AH38" s="28">
        <v>3.7756163514070401E-3</v>
      </c>
      <c r="AI38" s="27">
        <v>1E-3</v>
      </c>
      <c r="AJ38" s="27" t="s">
        <v>11</v>
      </c>
      <c r="AK38" s="27">
        <v>5.0824911084474903E-3</v>
      </c>
      <c r="AL38" s="26"/>
      <c r="AN38" s="28"/>
      <c r="AR38" s="26"/>
      <c r="AT38" s="28"/>
      <c r="AU38" s="26"/>
      <c r="AW38" s="28"/>
    </row>
    <row r="39" spans="1:49" s="14" customFormat="1" x14ac:dyDescent="0.2">
      <c r="A39" s="14" t="s">
        <v>114</v>
      </c>
      <c r="B39" s="12">
        <v>1E-3</v>
      </c>
      <c r="C39" s="27" t="s">
        <v>11</v>
      </c>
      <c r="D39" s="13">
        <v>6.5420622923583601E-3</v>
      </c>
      <c r="E39" s="12">
        <v>1E-3</v>
      </c>
      <c r="F39" s="14" t="s">
        <v>11</v>
      </c>
      <c r="G39" s="13">
        <v>3.9768720000000002E-3</v>
      </c>
      <c r="H39" s="14">
        <v>1E-3</v>
      </c>
      <c r="I39" s="14" t="s">
        <v>11</v>
      </c>
      <c r="J39" s="13">
        <v>9.4497181518027606E-3</v>
      </c>
      <c r="K39" s="12">
        <v>1E-3</v>
      </c>
      <c r="L39" s="14" t="s">
        <v>11</v>
      </c>
      <c r="M39" s="13">
        <v>6.3466813928122496E-3</v>
      </c>
      <c r="N39" s="14">
        <v>1E-3</v>
      </c>
      <c r="O39" s="14" t="s">
        <v>11</v>
      </c>
      <c r="P39" s="13">
        <v>2.8273249999999999E-3</v>
      </c>
      <c r="Q39" s="14">
        <v>1E-3</v>
      </c>
      <c r="R39" s="14" t="s">
        <v>11</v>
      </c>
      <c r="S39" s="14">
        <v>2.20179731366993E-3</v>
      </c>
      <c r="T39" s="12">
        <v>1E-3</v>
      </c>
      <c r="U39" s="14" t="s">
        <v>11</v>
      </c>
      <c r="V39" s="13">
        <v>3.6807111609980302E-3</v>
      </c>
      <c r="W39" s="14">
        <v>1E-3</v>
      </c>
      <c r="X39" s="14" t="s">
        <v>11</v>
      </c>
      <c r="Y39" s="14">
        <v>3.1486316644971802E-3</v>
      </c>
      <c r="Z39" s="12">
        <v>1E-3</v>
      </c>
      <c r="AA39" s="14" t="s">
        <v>11</v>
      </c>
      <c r="AB39" s="13">
        <v>9.1353966417940993E-3</v>
      </c>
      <c r="AC39" s="12">
        <v>1E-3</v>
      </c>
      <c r="AD39" s="14" t="s">
        <v>11</v>
      </c>
      <c r="AE39" s="13">
        <v>7.4232577513805402E-3</v>
      </c>
      <c r="AF39" s="12">
        <v>1E-3</v>
      </c>
      <c r="AG39" s="14" t="s">
        <v>11</v>
      </c>
      <c r="AH39" s="13">
        <v>5.1577035923038696E-3</v>
      </c>
      <c r="AI39" s="14">
        <v>1E-3</v>
      </c>
      <c r="AJ39" s="14" t="s">
        <v>11</v>
      </c>
      <c r="AK39" s="14">
        <v>5.2089671008601797E-3</v>
      </c>
      <c r="AL39" s="12"/>
      <c r="AN39" s="13"/>
      <c r="AR39" s="12"/>
      <c r="AT39" s="13"/>
      <c r="AU39" s="12"/>
      <c r="AW39" s="13"/>
    </row>
    <row r="40" spans="1:49" s="27" customFormat="1" x14ac:dyDescent="0.2">
      <c r="A40" s="27" t="s">
        <v>113</v>
      </c>
      <c r="B40" s="26">
        <v>0.94499999999999995</v>
      </c>
      <c r="D40" s="28">
        <v>4.3824605584682199E-3</v>
      </c>
      <c r="E40" s="26">
        <v>0.71599999999999997</v>
      </c>
      <c r="G40" s="28">
        <v>5.9426590000000003E-3</v>
      </c>
      <c r="H40" s="27">
        <v>0.86</v>
      </c>
      <c r="J40" s="28">
        <v>5.0662877812841702E-3</v>
      </c>
      <c r="K40" s="26">
        <v>0.379</v>
      </c>
      <c r="M40" s="28">
        <v>7.2158307554755401E-3</v>
      </c>
      <c r="N40" s="27">
        <v>0.78800000000000003</v>
      </c>
      <c r="P40" s="28">
        <v>4.9920260000000001E-3</v>
      </c>
      <c r="Q40" s="27">
        <v>0.34699999999999998</v>
      </c>
      <c r="S40" s="27">
        <v>5.2637411031066202E-3</v>
      </c>
      <c r="T40" s="26">
        <v>0.84899999999999998</v>
      </c>
      <c r="V40" s="28">
        <v>5.0398605584126401E-3</v>
      </c>
      <c r="W40" s="27">
        <v>0.92600000000000005</v>
      </c>
      <c r="Y40" s="27">
        <v>5.3270761231003503E-3</v>
      </c>
      <c r="Z40" s="26">
        <v>0.73299999999999998</v>
      </c>
      <c r="AB40" s="28">
        <v>4.4471782300539303E-3</v>
      </c>
      <c r="AC40" s="26">
        <v>0.89300000000000002</v>
      </c>
      <c r="AE40" s="28">
        <v>6.1958552095092E-3</v>
      </c>
      <c r="AF40" s="26">
        <v>0.38400000000000001</v>
      </c>
      <c r="AH40" s="28">
        <v>4.8594900029344601E-3</v>
      </c>
      <c r="AI40" s="27">
        <v>0.34100000000000003</v>
      </c>
      <c r="AK40" s="27">
        <v>6.96320361349598E-3</v>
      </c>
      <c r="AL40" s="26"/>
      <c r="AN40" s="28"/>
      <c r="AR40" s="26"/>
      <c r="AT40" s="28"/>
      <c r="AU40" s="26"/>
      <c r="AW40" s="28"/>
    </row>
    <row r="41" spans="1:49" s="14" customFormat="1" x14ac:dyDescent="0.2">
      <c r="A41" s="14" t="s">
        <v>112</v>
      </c>
      <c r="B41" s="12">
        <v>1E-3</v>
      </c>
      <c r="C41" s="27" t="s">
        <v>11</v>
      </c>
      <c r="D41" s="13">
        <v>2.5889949824252401E-2</v>
      </c>
      <c r="E41" s="12">
        <v>1E-3</v>
      </c>
      <c r="F41" s="14" t="s">
        <v>11</v>
      </c>
      <c r="G41" s="13">
        <v>1.511467E-2</v>
      </c>
      <c r="H41" s="14">
        <v>1E-3</v>
      </c>
      <c r="I41" s="14" t="s">
        <v>11</v>
      </c>
      <c r="J41" s="13">
        <v>3.73688302696248E-2</v>
      </c>
      <c r="K41" s="12">
        <v>1E-3</v>
      </c>
      <c r="L41" s="14" t="s">
        <v>11</v>
      </c>
      <c r="M41" s="13">
        <v>1.8385435686017599E-2</v>
      </c>
      <c r="N41" s="14">
        <v>1E-3</v>
      </c>
      <c r="O41" s="14" t="s">
        <v>11</v>
      </c>
      <c r="P41" s="13">
        <v>8.1417569999999995E-3</v>
      </c>
      <c r="Q41" s="14">
        <v>1E-3</v>
      </c>
      <c r="R41" s="14" t="s">
        <v>11</v>
      </c>
      <c r="S41" s="14">
        <v>9.2916351512431494E-3</v>
      </c>
      <c r="T41" s="12">
        <v>1E-3</v>
      </c>
      <c r="U41" s="14" t="s">
        <v>11</v>
      </c>
      <c r="V41" s="13">
        <v>1.18585877806142E-2</v>
      </c>
      <c r="W41" s="14">
        <v>1E-3</v>
      </c>
      <c r="X41" s="14" t="s">
        <v>11</v>
      </c>
      <c r="Y41" s="14">
        <v>1.18866071735631E-2</v>
      </c>
      <c r="Z41" s="12">
        <v>1E-3</v>
      </c>
      <c r="AA41" s="14" t="s">
        <v>11</v>
      </c>
      <c r="AB41" s="13">
        <v>2.4932810650582699E-2</v>
      </c>
      <c r="AC41" s="12">
        <v>1E-3</v>
      </c>
      <c r="AD41" s="14" t="s">
        <v>11</v>
      </c>
      <c r="AE41" s="13">
        <v>1.41101640037483E-2</v>
      </c>
      <c r="AF41" s="12">
        <v>1E-3</v>
      </c>
      <c r="AG41" s="14" t="s">
        <v>11</v>
      </c>
      <c r="AH41" s="13">
        <v>1.3094124873533701E-2</v>
      </c>
      <c r="AI41" s="14">
        <v>1E-3</v>
      </c>
      <c r="AJ41" s="14" t="s">
        <v>11</v>
      </c>
      <c r="AK41" s="14">
        <v>1.1886493403772E-2</v>
      </c>
      <c r="AL41" s="12"/>
      <c r="AN41" s="13"/>
      <c r="AR41" s="12"/>
      <c r="AT41" s="13"/>
      <c r="AU41" s="12"/>
      <c r="AW41" s="13"/>
    </row>
    <row r="42" spans="1:49" s="27" customFormat="1" x14ac:dyDescent="0.2">
      <c r="A42" s="27" t="s">
        <v>111</v>
      </c>
      <c r="B42" s="26">
        <v>2E-3</v>
      </c>
      <c r="C42" s="27" t="s">
        <v>51</v>
      </c>
      <c r="D42" s="28">
        <v>5.5028767540810002E-3</v>
      </c>
      <c r="E42" s="26">
        <v>1E-3</v>
      </c>
      <c r="F42" s="27" t="s">
        <v>11</v>
      </c>
      <c r="G42" s="28">
        <v>4.8567310000000004E-3</v>
      </c>
      <c r="H42" s="27">
        <v>5.3999999999999999E-2</v>
      </c>
      <c r="I42" s="27" t="s">
        <v>8</v>
      </c>
      <c r="J42" s="28">
        <v>4.4412948748981298E-3</v>
      </c>
      <c r="K42" s="26">
        <v>0.105</v>
      </c>
      <c r="L42" s="27" t="s">
        <v>8</v>
      </c>
      <c r="M42" s="28">
        <v>5.0940818144058399E-3</v>
      </c>
      <c r="N42" s="27">
        <v>1.4999999999999999E-2</v>
      </c>
      <c r="O42" s="27" t="s">
        <v>7</v>
      </c>
      <c r="P42" s="28">
        <v>4.4435280000000004E-3</v>
      </c>
      <c r="Q42" s="27">
        <v>3.0000000000000001E-3</v>
      </c>
      <c r="R42" s="27" t="s">
        <v>51</v>
      </c>
      <c r="S42" s="27">
        <v>4.33626708193037E-3</v>
      </c>
      <c r="T42" s="26">
        <v>7.0000000000000007E-2</v>
      </c>
      <c r="U42" s="27" t="s">
        <v>8</v>
      </c>
      <c r="V42" s="28">
        <v>3.8809326325320399E-3</v>
      </c>
      <c r="W42" s="27">
        <v>2.1999999999999999E-2</v>
      </c>
      <c r="X42" s="27" t="s">
        <v>7</v>
      </c>
      <c r="Y42" s="27">
        <v>4.4249163919792903E-3</v>
      </c>
      <c r="Z42" s="26">
        <v>4.5999999999999999E-2</v>
      </c>
      <c r="AA42" s="27" t="s">
        <v>7</v>
      </c>
      <c r="AB42" s="28">
        <v>3.2900806148961599E-3</v>
      </c>
      <c r="AC42" s="26">
        <v>6.0000000000000001E-3</v>
      </c>
      <c r="AD42" s="27" t="s">
        <v>51</v>
      </c>
      <c r="AE42" s="28">
        <v>3.68764898101571E-3</v>
      </c>
      <c r="AF42" s="26">
        <v>1.4999999999999999E-2</v>
      </c>
      <c r="AG42" s="27" t="s">
        <v>7</v>
      </c>
      <c r="AH42" s="28">
        <v>4.1973379553294004E-3</v>
      </c>
      <c r="AI42" s="27">
        <v>1E-3</v>
      </c>
      <c r="AJ42" s="27" t="s">
        <v>11</v>
      </c>
      <c r="AK42" s="27">
        <v>4.7574646853526499E-3</v>
      </c>
      <c r="AL42" s="26"/>
      <c r="AN42" s="28"/>
      <c r="AR42" s="26"/>
      <c r="AT42" s="28"/>
      <c r="AU42" s="26"/>
      <c r="AW42" s="28"/>
    </row>
    <row r="43" spans="1:49" s="14" customFormat="1" x14ac:dyDescent="0.2">
      <c r="A43" s="14" t="s">
        <v>110</v>
      </c>
      <c r="B43" s="12">
        <v>1.4E-2</v>
      </c>
      <c r="C43" s="14" t="s">
        <v>7</v>
      </c>
      <c r="D43" s="13">
        <v>4.4405945909951798E-3</v>
      </c>
      <c r="E43" s="12">
        <v>3.0000000000000001E-3</v>
      </c>
      <c r="F43" s="14" t="s">
        <v>51</v>
      </c>
      <c r="G43" s="13">
        <v>3.8254230000000001E-3</v>
      </c>
      <c r="H43" s="14">
        <v>2E-3</v>
      </c>
      <c r="I43" s="14" t="s">
        <v>51</v>
      </c>
      <c r="J43" s="13">
        <v>4.8360772452755996E-3</v>
      </c>
      <c r="K43" s="12">
        <v>1E-3</v>
      </c>
      <c r="L43" s="14" t="s">
        <v>11</v>
      </c>
      <c r="M43" s="13">
        <v>3.294820442689E-3</v>
      </c>
      <c r="N43" s="14">
        <v>0.02</v>
      </c>
      <c r="O43" s="14" t="s">
        <v>7</v>
      </c>
      <c r="P43" s="13">
        <v>2.5226620000000002E-3</v>
      </c>
      <c r="Q43" s="14">
        <v>1.9E-2</v>
      </c>
      <c r="R43" s="14" t="s">
        <v>7</v>
      </c>
      <c r="S43" s="14">
        <v>2.7275742006832898E-3</v>
      </c>
      <c r="T43" s="12">
        <v>0.254</v>
      </c>
      <c r="V43" s="13">
        <v>2.37714429847645E-3</v>
      </c>
      <c r="W43" s="14">
        <v>6.6000000000000003E-2</v>
      </c>
      <c r="X43" s="14" t="s">
        <v>8</v>
      </c>
      <c r="Y43" s="14">
        <v>2.6815975682428399E-3</v>
      </c>
      <c r="Z43" s="12">
        <v>1E-3</v>
      </c>
      <c r="AA43" s="14" t="s">
        <v>11</v>
      </c>
      <c r="AB43" s="13">
        <v>1.9068491120314899E-3</v>
      </c>
      <c r="AC43" s="12">
        <v>0.371</v>
      </c>
      <c r="AE43" s="13">
        <v>2.3794244228298499E-3</v>
      </c>
      <c r="AF43" s="12">
        <v>0.32400000000000001</v>
      </c>
      <c r="AH43" s="13">
        <v>1.62368779272704E-3</v>
      </c>
      <c r="AI43" s="14">
        <v>0.99299999999999999</v>
      </c>
      <c r="AK43" s="14">
        <v>1.77111749910978E-3</v>
      </c>
      <c r="AL43" s="12"/>
      <c r="AN43" s="13"/>
      <c r="AR43" s="12"/>
      <c r="AT43" s="13"/>
      <c r="AU43" s="12"/>
      <c r="AW43" s="13"/>
    </row>
    <row r="44" spans="1:49" s="27" customFormat="1" x14ac:dyDescent="0.2">
      <c r="A44" s="27" t="s">
        <v>109</v>
      </c>
      <c r="B44" s="26">
        <v>0.151</v>
      </c>
      <c r="D44" s="28">
        <v>1.6672298466953301E-3</v>
      </c>
      <c r="E44" s="26">
        <v>5.0000000000000001E-3</v>
      </c>
      <c r="F44" s="27" t="s">
        <v>51</v>
      </c>
      <c r="G44" s="28">
        <v>1.8629269999999999E-3</v>
      </c>
      <c r="H44" s="27">
        <v>0.104</v>
      </c>
      <c r="J44" s="28">
        <v>2.0253303148629201E-3</v>
      </c>
      <c r="K44" s="26">
        <v>3.7999999999999999E-2</v>
      </c>
      <c r="L44" s="27" t="s">
        <v>7</v>
      </c>
      <c r="M44" s="28">
        <v>2.0265314991045999E-3</v>
      </c>
      <c r="N44" s="27">
        <v>0.14199999999999999</v>
      </c>
      <c r="P44" s="28">
        <v>2.2969399999999999E-3</v>
      </c>
      <c r="Q44" s="27">
        <v>1E-3</v>
      </c>
      <c r="R44" s="27" t="s">
        <v>11</v>
      </c>
      <c r="S44" s="27">
        <v>2.4776656373678698E-3</v>
      </c>
      <c r="T44" s="26">
        <v>0.184</v>
      </c>
      <c r="V44" s="28">
        <v>2.51884507219844E-3</v>
      </c>
      <c r="W44" s="27">
        <v>1E-3</v>
      </c>
      <c r="X44" s="27" t="s">
        <v>11</v>
      </c>
      <c r="Y44" s="27">
        <v>2.5399216387227302E-3</v>
      </c>
      <c r="Z44" s="26">
        <v>0.71799999999999997</v>
      </c>
      <c r="AB44" s="28">
        <v>1.84142906387844E-3</v>
      </c>
      <c r="AC44" s="26">
        <v>0.57399999999999995</v>
      </c>
      <c r="AE44" s="28">
        <v>1.69722868466734E-3</v>
      </c>
      <c r="AF44" s="26">
        <v>0.184</v>
      </c>
      <c r="AH44" s="28">
        <v>2.2914358932601799E-3</v>
      </c>
      <c r="AI44" s="27">
        <v>0.4</v>
      </c>
      <c r="AK44" s="27">
        <v>2.1215277476248598E-3</v>
      </c>
      <c r="AL44" s="26"/>
      <c r="AN44" s="28"/>
      <c r="AR44" s="26"/>
      <c r="AT44" s="28"/>
      <c r="AU44" s="26"/>
      <c r="AW44" s="28"/>
    </row>
    <row r="45" spans="1:49" s="14" customFormat="1" x14ac:dyDescent="0.2">
      <c r="A45" s="14" t="s">
        <v>108</v>
      </c>
      <c r="B45" s="12">
        <v>1E-3</v>
      </c>
      <c r="C45" s="47" t="s">
        <v>11</v>
      </c>
      <c r="D45" s="13">
        <v>8.0492206669545395E-3</v>
      </c>
      <c r="E45" s="12">
        <v>1E-3</v>
      </c>
      <c r="F45" s="14" t="s">
        <v>11</v>
      </c>
      <c r="G45" s="13">
        <v>7.7538809999999998E-3</v>
      </c>
      <c r="H45" s="14">
        <v>1E-3</v>
      </c>
      <c r="I45" s="14" t="s">
        <v>11</v>
      </c>
      <c r="J45" s="13">
        <v>9.1876360072184592E-3</v>
      </c>
      <c r="K45" s="12">
        <v>1E-3</v>
      </c>
      <c r="L45" s="14" t="s">
        <v>11</v>
      </c>
      <c r="M45" s="13">
        <v>9.9260636717908891E-3</v>
      </c>
      <c r="N45" s="14">
        <v>1E-3</v>
      </c>
      <c r="O45" s="14" t="s">
        <v>11</v>
      </c>
      <c r="P45" s="13">
        <v>6.1055420000000003E-3</v>
      </c>
      <c r="Q45" s="14">
        <v>1E-3</v>
      </c>
      <c r="R45" s="14" t="s">
        <v>11</v>
      </c>
      <c r="S45" s="14">
        <v>5.7535303014855004E-3</v>
      </c>
      <c r="T45" s="12">
        <v>1E-3</v>
      </c>
      <c r="U45" s="14" t="s">
        <v>11</v>
      </c>
      <c r="V45" s="13">
        <v>6.6772436009269603E-3</v>
      </c>
      <c r="W45" s="14">
        <v>1E-3</v>
      </c>
      <c r="X45" s="14" t="s">
        <v>11</v>
      </c>
      <c r="Y45" s="14">
        <v>6.1824815119370796E-3</v>
      </c>
      <c r="Z45" s="12">
        <v>1E-3</v>
      </c>
      <c r="AA45" s="14" t="s">
        <v>11</v>
      </c>
      <c r="AB45" s="13">
        <v>8.5888562680060208E-3</v>
      </c>
      <c r="AC45" s="12">
        <v>1E-3</v>
      </c>
      <c r="AD45" s="14" t="s">
        <v>11</v>
      </c>
      <c r="AE45" s="13">
        <v>8.3580465981692494E-3</v>
      </c>
      <c r="AF45" s="12">
        <v>1E-3</v>
      </c>
      <c r="AG45" s="14" t="s">
        <v>11</v>
      </c>
      <c r="AH45" s="13">
        <v>5.6434424953627303E-3</v>
      </c>
      <c r="AI45" s="14">
        <v>1E-3</v>
      </c>
      <c r="AJ45" s="14" t="s">
        <v>11</v>
      </c>
      <c r="AK45" s="14">
        <v>6.6800938960219804E-3</v>
      </c>
      <c r="AL45" s="12"/>
      <c r="AN45" s="13"/>
      <c r="AR45" s="12"/>
      <c r="AT45" s="13"/>
      <c r="AU45" s="12"/>
      <c r="AW45" s="13"/>
    </row>
    <row r="46" spans="1:49" s="27" customFormat="1" x14ac:dyDescent="0.2">
      <c r="A46" s="27" t="s">
        <v>107</v>
      </c>
      <c r="B46" s="26">
        <v>1E-3</v>
      </c>
      <c r="C46" s="47" t="s">
        <v>11</v>
      </c>
      <c r="D46" s="28">
        <v>4.8117942311066498E-3</v>
      </c>
      <c r="E46" s="26">
        <v>1E-3</v>
      </c>
      <c r="F46" s="27" t="s">
        <v>11</v>
      </c>
      <c r="G46" s="28">
        <v>6.1860689999999998E-3</v>
      </c>
      <c r="H46" s="27">
        <v>1E-3</v>
      </c>
      <c r="I46" s="27" t="s">
        <v>11</v>
      </c>
      <c r="J46" s="28">
        <v>5.6192039802761802E-3</v>
      </c>
      <c r="K46" s="26">
        <v>1E-3</v>
      </c>
      <c r="L46" s="27" t="s">
        <v>11</v>
      </c>
      <c r="M46" s="28">
        <v>4.4979892593105704E-3</v>
      </c>
      <c r="N46" s="27">
        <v>1E-3</v>
      </c>
      <c r="O46" s="27" t="s">
        <v>11</v>
      </c>
      <c r="P46" s="28">
        <v>4.5738849999999998E-3</v>
      </c>
      <c r="Q46" s="27">
        <v>1E-3</v>
      </c>
      <c r="R46" s="27" t="s">
        <v>11</v>
      </c>
      <c r="S46" s="27">
        <v>5.5307847963470304E-3</v>
      </c>
      <c r="T46" s="26">
        <v>1E-3</v>
      </c>
      <c r="U46" s="27" t="s">
        <v>11</v>
      </c>
      <c r="V46" s="28">
        <v>4.7519114017155299E-3</v>
      </c>
      <c r="W46" s="27">
        <v>1E-3</v>
      </c>
      <c r="X46" s="27" t="s">
        <v>11</v>
      </c>
      <c r="Y46" s="27">
        <v>5.7948398106165396E-3</v>
      </c>
      <c r="Z46" s="26">
        <v>1E-3</v>
      </c>
      <c r="AA46" s="27" t="s">
        <v>11</v>
      </c>
      <c r="AB46" s="28">
        <v>4.36946300224681E-3</v>
      </c>
      <c r="AC46" s="26">
        <v>1E-3</v>
      </c>
      <c r="AD46" s="27" t="s">
        <v>11</v>
      </c>
      <c r="AE46" s="28">
        <v>4.8438836322073396E-3</v>
      </c>
      <c r="AF46" s="26">
        <v>1E-3</v>
      </c>
      <c r="AG46" s="27" t="s">
        <v>11</v>
      </c>
      <c r="AH46" s="28">
        <v>4.5918620231879398E-3</v>
      </c>
      <c r="AI46" s="27">
        <v>1E-3</v>
      </c>
      <c r="AJ46" s="27" t="s">
        <v>11</v>
      </c>
      <c r="AK46" s="27">
        <v>6.1594278392792697E-3</v>
      </c>
      <c r="AL46" s="26"/>
      <c r="AN46" s="28"/>
      <c r="AR46" s="26"/>
      <c r="AT46" s="28"/>
      <c r="AU46" s="26"/>
      <c r="AW46" s="28"/>
    </row>
    <row r="47" spans="1:49" s="14" customFormat="1" x14ac:dyDescent="0.2">
      <c r="A47" s="14" t="s">
        <v>106</v>
      </c>
      <c r="B47" s="12">
        <v>1E-3</v>
      </c>
      <c r="C47" s="47" t="s">
        <v>11</v>
      </c>
      <c r="D47" s="13">
        <v>4.4212087440964601E-3</v>
      </c>
      <c r="E47" s="12">
        <v>1E-3</v>
      </c>
      <c r="F47" s="14" t="s">
        <v>11</v>
      </c>
      <c r="G47" s="13">
        <v>3.5696389999999999E-3</v>
      </c>
      <c r="H47" s="14">
        <v>1E-3</v>
      </c>
      <c r="I47" s="14" t="s">
        <v>11</v>
      </c>
      <c r="J47" s="13">
        <v>4.9703167096486096E-3</v>
      </c>
      <c r="K47" s="12">
        <v>1E-3</v>
      </c>
      <c r="L47" s="14" t="s">
        <v>11</v>
      </c>
      <c r="M47" s="13">
        <v>3.7170886957333098E-3</v>
      </c>
      <c r="N47" s="14">
        <v>1E-3</v>
      </c>
      <c r="O47" s="14" t="s">
        <v>11</v>
      </c>
      <c r="P47" s="13">
        <v>3.3893019999999999E-3</v>
      </c>
      <c r="Q47" s="14">
        <v>1E-3</v>
      </c>
      <c r="R47" s="14" t="s">
        <v>11</v>
      </c>
      <c r="S47" s="14">
        <v>3.8437431931390501E-3</v>
      </c>
      <c r="T47" s="12">
        <v>1E-3</v>
      </c>
      <c r="U47" s="14" t="s">
        <v>11</v>
      </c>
      <c r="V47" s="13">
        <v>3.5024640840786202E-3</v>
      </c>
      <c r="W47" s="14">
        <v>1E-3</v>
      </c>
      <c r="X47" s="14" t="s">
        <v>11</v>
      </c>
      <c r="Y47" s="14">
        <v>4.0821403603469803E-3</v>
      </c>
      <c r="Z47" s="12">
        <v>1E-3</v>
      </c>
      <c r="AA47" s="14" t="s">
        <v>11</v>
      </c>
      <c r="AB47" s="13">
        <v>3.3808071635896201E-3</v>
      </c>
      <c r="AC47" s="12">
        <v>1E-3</v>
      </c>
      <c r="AD47" s="14" t="s">
        <v>11</v>
      </c>
      <c r="AE47" s="13">
        <v>3.5019956010983199E-3</v>
      </c>
      <c r="AF47" s="12">
        <v>1E-3</v>
      </c>
      <c r="AG47" s="14" t="s">
        <v>11</v>
      </c>
      <c r="AH47" s="13">
        <v>2.7296453814191698E-3</v>
      </c>
      <c r="AI47" s="14">
        <v>1E-3</v>
      </c>
      <c r="AJ47" s="14" t="s">
        <v>11</v>
      </c>
      <c r="AK47" s="14">
        <v>3.3055720297943802E-3</v>
      </c>
      <c r="AL47" s="12"/>
      <c r="AN47" s="13"/>
      <c r="AR47" s="12"/>
      <c r="AT47" s="13"/>
      <c r="AU47" s="12"/>
      <c r="AW47" s="13"/>
    </row>
    <row r="48" spans="1:49" s="27" customFormat="1" x14ac:dyDescent="0.2">
      <c r="A48" s="27" t="s">
        <v>129</v>
      </c>
      <c r="B48" s="26">
        <v>0.188</v>
      </c>
      <c r="D48" s="28">
        <v>4.1849861113620202E-3</v>
      </c>
      <c r="E48" s="26">
        <v>2.1999999999999999E-2</v>
      </c>
      <c r="F48" s="27" t="s">
        <v>7</v>
      </c>
      <c r="G48" s="28">
        <v>2.9672689999999998E-3</v>
      </c>
      <c r="H48" s="27">
        <v>0.29899999999999999</v>
      </c>
      <c r="J48" s="28">
        <v>2.58444635979793E-3</v>
      </c>
      <c r="K48" s="26">
        <v>0.93500000000000005</v>
      </c>
      <c r="M48" s="28">
        <v>1.60312241535857E-3</v>
      </c>
      <c r="N48" s="27">
        <v>8.9999999999999993E-3</v>
      </c>
      <c r="O48" s="27" t="s">
        <v>51</v>
      </c>
      <c r="P48" s="28">
        <v>3.8571220000000002E-3</v>
      </c>
      <c r="Q48" s="27">
        <v>1E-3</v>
      </c>
      <c r="R48" s="27" t="s">
        <v>11</v>
      </c>
      <c r="S48" s="27">
        <v>4.1661705993898202E-3</v>
      </c>
      <c r="T48" s="26">
        <v>1E-3</v>
      </c>
      <c r="U48" s="27" t="s">
        <v>11</v>
      </c>
      <c r="V48" s="28">
        <v>3.2311243476184901E-3</v>
      </c>
      <c r="W48" s="27">
        <v>1E-3</v>
      </c>
      <c r="X48" s="27" t="s">
        <v>11</v>
      </c>
      <c r="Y48" s="27">
        <v>3.9262342276732004E-3</v>
      </c>
      <c r="Z48" s="26">
        <v>0.35899999999999999</v>
      </c>
      <c r="AB48" s="28">
        <v>2.7390649912805501E-3</v>
      </c>
      <c r="AC48" s="26">
        <v>7.0000000000000001E-3</v>
      </c>
      <c r="AD48" s="27" t="s">
        <v>11</v>
      </c>
      <c r="AE48" s="28">
        <v>2.3389910858927199E-3</v>
      </c>
      <c r="AF48" s="26">
        <v>4.0000000000000001E-3</v>
      </c>
      <c r="AG48" s="27" t="s">
        <v>51</v>
      </c>
      <c r="AH48" s="28">
        <v>3.13637606300818E-3</v>
      </c>
      <c r="AI48" s="27">
        <v>4.0000000000000001E-3</v>
      </c>
      <c r="AJ48" s="27" t="s">
        <v>51</v>
      </c>
      <c r="AK48" s="27">
        <v>2.8361769672820098E-3</v>
      </c>
      <c r="AL48" s="26"/>
      <c r="AN48" s="28"/>
      <c r="AR48" s="26"/>
      <c r="AT48" s="28"/>
      <c r="AU48" s="26"/>
      <c r="AW48" s="28"/>
    </row>
    <row r="49" spans="1:49" s="14" customFormat="1" x14ac:dyDescent="0.2">
      <c r="A49" s="14" t="s">
        <v>104</v>
      </c>
      <c r="B49" s="12">
        <v>1E-3</v>
      </c>
      <c r="C49" s="47" t="s">
        <v>11</v>
      </c>
      <c r="D49" s="13">
        <v>5.5441774841399703E-3</v>
      </c>
      <c r="E49" s="12">
        <v>1E-3</v>
      </c>
      <c r="F49" s="14" t="s">
        <v>11</v>
      </c>
      <c r="G49" s="13">
        <v>5.9566719999999997E-3</v>
      </c>
      <c r="H49" s="14">
        <v>1E-3</v>
      </c>
      <c r="I49" s="14" t="s">
        <v>11</v>
      </c>
      <c r="J49" s="13">
        <v>6.3446502715987004E-3</v>
      </c>
      <c r="K49" s="12">
        <v>1E-3</v>
      </c>
      <c r="L49" s="14" t="s">
        <v>11</v>
      </c>
      <c r="M49" s="13">
        <v>6.0124483853772701E-3</v>
      </c>
      <c r="N49" s="14">
        <v>1E-3</v>
      </c>
      <c r="O49" s="14" t="s">
        <v>11</v>
      </c>
      <c r="P49" s="13">
        <v>5.0448539999999997E-3</v>
      </c>
      <c r="Q49" s="14">
        <v>1E-3</v>
      </c>
      <c r="R49" s="14" t="s">
        <v>11</v>
      </c>
      <c r="S49" s="14">
        <v>5.5444663934450297E-3</v>
      </c>
      <c r="T49" s="12">
        <v>1E-3</v>
      </c>
      <c r="U49" s="14" t="s">
        <v>11</v>
      </c>
      <c r="V49" s="13">
        <v>4.4613956750696104E-3</v>
      </c>
      <c r="W49" s="14">
        <v>1E-3</v>
      </c>
      <c r="X49" s="14" t="s">
        <v>11</v>
      </c>
      <c r="Y49" s="14">
        <v>5.2944375012936402E-3</v>
      </c>
      <c r="Z49" s="12">
        <v>1E-3</v>
      </c>
      <c r="AA49" s="14" t="s">
        <v>11</v>
      </c>
      <c r="AB49" s="13">
        <v>7.6858530773608004E-3</v>
      </c>
      <c r="AC49" s="12">
        <v>1E-3</v>
      </c>
      <c r="AD49" s="14" t="s">
        <v>11</v>
      </c>
      <c r="AE49" s="13">
        <v>8.1076428116054495E-3</v>
      </c>
      <c r="AF49" s="12">
        <v>1E-3</v>
      </c>
      <c r="AG49" s="14" t="s">
        <v>11</v>
      </c>
      <c r="AH49" s="13">
        <v>5.9654084997514002E-3</v>
      </c>
      <c r="AI49" s="14">
        <v>1E-3</v>
      </c>
      <c r="AJ49" s="14" t="s">
        <v>11</v>
      </c>
      <c r="AK49" s="14">
        <v>7.0851663731080596E-3</v>
      </c>
      <c r="AL49" s="12"/>
      <c r="AN49" s="13"/>
      <c r="AR49" s="12"/>
      <c r="AT49" s="13"/>
      <c r="AU49" s="12"/>
      <c r="AW49" s="13"/>
    </row>
    <row r="50" spans="1:49" s="27" customFormat="1" x14ac:dyDescent="0.2">
      <c r="A50" s="27" t="s">
        <v>105</v>
      </c>
      <c r="B50" s="26">
        <v>2.3E-2</v>
      </c>
      <c r="C50" s="27" t="s">
        <v>7</v>
      </c>
      <c r="D50" s="28">
        <v>1.976354122727E-3</v>
      </c>
      <c r="E50" s="26">
        <v>0.01</v>
      </c>
      <c r="F50" s="27" t="s">
        <v>7</v>
      </c>
      <c r="G50" s="28">
        <v>2.0908160000000001E-3</v>
      </c>
      <c r="H50" s="27">
        <v>2E-3</v>
      </c>
      <c r="I50" s="27" t="s">
        <v>51</v>
      </c>
      <c r="J50" s="28">
        <v>2.7569556194456E-3</v>
      </c>
      <c r="K50" s="26">
        <v>1E-3</v>
      </c>
      <c r="L50" s="27" t="s">
        <v>11</v>
      </c>
      <c r="M50" s="28">
        <v>2.22449780851976E-3</v>
      </c>
      <c r="N50" s="27">
        <v>6.3E-2</v>
      </c>
      <c r="O50" s="27" t="s">
        <v>8</v>
      </c>
      <c r="P50" s="28">
        <v>1.745216E-3</v>
      </c>
      <c r="Q50" s="27">
        <v>3.2000000000000001E-2</v>
      </c>
      <c r="R50" s="27" t="s">
        <v>7</v>
      </c>
      <c r="S50" s="27">
        <v>1.6569640738221599E-3</v>
      </c>
      <c r="T50" s="26">
        <v>4.2000000000000003E-2</v>
      </c>
      <c r="U50" s="27" t="s">
        <v>7</v>
      </c>
      <c r="V50" s="28">
        <v>1.9691094980465698E-3</v>
      </c>
      <c r="W50" s="27">
        <v>8.5000000000000006E-2</v>
      </c>
      <c r="X50" s="27" t="s">
        <v>8</v>
      </c>
      <c r="Y50" s="27">
        <v>1.7852715319593799E-3</v>
      </c>
      <c r="Z50" s="26">
        <v>3.4000000000000002E-2</v>
      </c>
      <c r="AA50" s="27" t="s">
        <v>11</v>
      </c>
      <c r="AB50" s="28">
        <v>2.9620078209150499E-3</v>
      </c>
      <c r="AC50" s="26">
        <v>6.0000000000000001E-3</v>
      </c>
      <c r="AD50" s="27" t="s">
        <v>51</v>
      </c>
      <c r="AE50" s="28">
        <v>2.4232286241125198E-3</v>
      </c>
      <c r="AF50" s="26">
        <v>1.0999999999999999E-2</v>
      </c>
      <c r="AG50" s="27" t="s">
        <v>7</v>
      </c>
      <c r="AH50" s="28">
        <v>2.5691570183693402E-3</v>
      </c>
      <c r="AI50" s="27">
        <v>1.7000000000000001E-2</v>
      </c>
      <c r="AJ50" s="27" t="s">
        <v>7</v>
      </c>
      <c r="AK50" s="27">
        <v>2.1994839087295299E-3</v>
      </c>
      <c r="AL50" s="26"/>
      <c r="AN50" s="28"/>
      <c r="AR50" s="26"/>
      <c r="AT50" s="28"/>
      <c r="AU50" s="26"/>
      <c r="AW50" s="28"/>
    </row>
    <row r="51" spans="1:49" s="27" customFormat="1" x14ac:dyDescent="0.2">
      <c r="A51" s="27" t="s">
        <v>103</v>
      </c>
      <c r="B51" s="26">
        <v>1E-3</v>
      </c>
      <c r="C51" s="47" t="s">
        <v>11</v>
      </c>
      <c r="D51" s="28">
        <v>4.1471967645145399E-3</v>
      </c>
      <c r="E51" s="26">
        <v>1E-3</v>
      </c>
      <c r="F51" s="27" t="s">
        <v>11</v>
      </c>
      <c r="G51" s="28">
        <v>3.6906310000000002E-3</v>
      </c>
      <c r="H51" s="27">
        <v>1E-3</v>
      </c>
      <c r="I51" s="27" t="s">
        <v>11</v>
      </c>
      <c r="J51" s="28">
        <v>5.6822488307729999E-3</v>
      </c>
      <c r="K51" s="26">
        <v>1E-3</v>
      </c>
      <c r="L51" s="27" t="s">
        <v>11</v>
      </c>
      <c r="M51" s="28">
        <v>6.0158028242852397E-3</v>
      </c>
      <c r="N51" s="27">
        <v>7.0999999999999994E-2</v>
      </c>
      <c r="O51" s="27" t="s">
        <v>8</v>
      </c>
      <c r="P51" s="28">
        <v>1.098407E-3</v>
      </c>
      <c r="Q51" s="27">
        <v>1E-3</v>
      </c>
      <c r="R51" s="27" t="s">
        <v>11</v>
      </c>
      <c r="S51" s="27">
        <v>1.3695683697843399E-3</v>
      </c>
      <c r="T51" s="26">
        <v>5.0000000000000001E-3</v>
      </c>
      <c r="U51" s="27" t="s">
        <v>51</v>
      </c>
      <c r="V51" s="28">
        <v>1.4581939995557301E-3</v>
      </c>
      <c r="W51" s="27">
        <v>1E-3</v>
      </c>
      <c r="X51" s="27" t="s">
        <v>11</v>
      </c>
      <c r="Y51" s="27">
        <v>1.7343604682392201E-3</v>
      </c>
      <c r="Z51" s="26">
        <v>1E-3</v>
      </c>
      <c r="AA51" s="27" t="s">
        <v>11</v>
      </c>
      <c r="AB51" s="28">
        <v>5.1745278276684199E-3</v>
      </c>
      <c r="AC51" s="26">
        <v>1E-3</v>
      </c>
      <c r="AD51" s="27" t="s">
        <v>11</v>
      </c>
      <c r="AE51" s="28">
        <v>5.3425450116079002E-3</v>
      </c>
      <c r="AF51" s="26">
        <v>1E-3</v>
      </c>
      <c r="AG51" s="27" t="s">
        <v>11</v>
      </c>
      <c r="AH51" s="28">
        <v>2.6511109412036102E-3</v>
      </c>
      <c r="AI51" s="27">
        <v>1E-3</v>
      </c>
      <c r="AJ51" s="27" t="s">
        <v>11</v>
      </c>
      <c r="AK51" s="27">
        <v>3.44856110592921E-3</v>
      </c>
      <c r="AL51" s="26"/>
      <c r="AN51" s="28"/>
      <c r="AR51" s="26"/>
      <c r="AT51" s="28"/>
      <c r="AU51" s="26"/>
      <c r="AW51" s="28"/>
    </row>
    <row r="52" spans="1:49" s="32" customFormat="1" x14ac:dyDescent="0.2">
      <c r="A52" s="32" t="s">
        <v>102</v>
      </c>
      <c r="B52" s="33">
        <v>4.1000000000000002E-2</v>
      </c>
      <c r="C52" s="32" t="s">
        <v>7</v>
      </c>
      <c r="D52" s="34">
        <v>5.7900293276837104E-3</v>
      </c>
      <c r="E52" s="33">
        <v>6.0000000000000001E-3</v>
      </c>
      <c r="F52" s="32" t="s">
        <v>51</v>
      </c>
      <c r="G52" s="34">
        <v>4.6017009999999997E-3</v>
      </c>
      <c r="H52" s="32">
        <v>0.63700000000000001</v>
      </c>
      <c r="J52" s="34">
        <v>9.5760273883528594E-3</v>
      </c>
      <c r="K52" s="33">
        <v>0.34699999999999998</v>
      </c>
      <c r="M52" s="34">
        <v>5.0368812203682401E-3</v>
      </c>
      <c r="N52" s="32">
        <v>8.5000000000000006E-2</v>
      </c>
      <c r="O52" s="32" t="s">
        <v>8</v>
      </c>
      <c r="P52" s="34">
        <v>4.9823189999999998E-3</v>
      </c>
      <c r="Q52" s="32">
        <v>9.6000000000000002E-2</v>
      </c>
      <c r="R52" s="32" t="s">
        <v>8</v>
      </c>
      <c r="S52" s="32">
        <v>4.7782981065948903E-3</v>
      </c>
      <c r="T52" s="33">
        <v>0.01</v>
      </c>
      <c r="U52" s="32" t="s">
        <v>51</v>
      </c>
      <c r="V52" s="34">
        <v>4.2464410887437104E-3</v>
      </c>
      <c r="W52" s="32">
        <v>1E-3</v>
      </c>
      <c r="X52" s="32" t="s">
        <v>11</v>
      </c>
      <c r="Y52" s="32">
        <v>4.5720458080425004E-3</v>
      </c>
      <c r="Z52" s="33">
        <v>0.41699999999999998</v>
      </c>
      <c r="AB52" s="34">
        <v>4.5373830162446704E-3</v>
      </c>
      <c r="AC52" s="33">
        <v>0.17799999999999999</v>
      </c>
      <c r="AE52" s="34">
        <v>3.7265292775094799E-3</v>
      </c>
      <c r="AF52" s="33">
        <v>0.109</v>
      </c>
      <c r="AH52" s="34">
        <v>3.1649772514466801E-3</v>
      </c>
      <c r="AI52" s="32">
        <v>0.42399999999999999</v>
      </c>
      <c r="AK52" s="32">
        <v>3.7124674366263702E-3</v>
      </c>
      <c r="AL52" s="33"/>
      <c r="AN52" s="34"/>
      <c r="AR52" s="33"/>
      <c r="AT52" s="34"/>
      <c r="AU52" s="33"/>
      <c r="AW52" s="34"/>
    </row>
    <row r="55" spans="1:49" s="22" customFormat="1" x14ac:dyDescent="0.2">
      <c r="A55" s="22" t="s">
        <v>23</v>
      </c>
      <c r="B55" s="23">
        <v>0.66300000000000003</v>
      </c>
      <c r="D55" s="24">
        <v>5.0395930530435402E-3</v>
      </c>
      <c r="E55" s="23">
        <v>0.70599999999999996</v>
      </c>
      <c r="G55" s="24">
        <v>4.9899258230845399E-3</v>
      </c>
      <c r="H55" s="22">
        <v>0.88700000000000001</v>
      </c>
      <c r="J55" s="24">
        <v>2.8419989121661999E-3</v>
      </c>
      <c r="K55" s="23">
        <v>0.76400000000000001</v>
      </c>
      <c r="M55" s="24">
        <v>4.3717574922225904E-3</v>
      </c>
      <c r="N55" s="22">
        <v>0.40500000000000003</v>
      </c>
      <c r="P55" s="24">
        <v>6.9771029288286102E-3</v>
      </c>
      <c r="Q55" s="22">
        <v>0.505</v>
      </c>
      <c r="S55" s="22">
        <v>6.9127470154976998E-3</v>
      </c>
      <c r="T55" s="23">
        <v>0.36</v>
      </c>
      <c r="V55" s="24">
        <v>7.2269039425879502E-3</v>
      </c>
      <c r="W55" s="22">
        <v>0.45900000000000002</v>
      </c>
      <c r="Y55" s="22">
        <v>7.07924685421923E-3</v>
      </c>
      <c r="Z55" s="23">
        <v>0.53100000000000003</v>
      </c>
      <c r="AB55" s="24">
        <v>5.40909410135367E-3</v>
      </c>
      <c r="AC55" s="23">
        <v>0.68</v>
      </c>
      <c r="AE55" s="24">
        <v>5.63916579545119E-3</v>
      </c>
      <c r="AF55" s="23">
        <v>0.39200000000000002</v>
      </c>
      <c r="AH55" s="24">
        <v>6.4665436550070199E-3</v>
      </c>
      <c r="AI55" s="22">
        <v>0.499</v>
      </c>
      <c r="AK55" s="22">
        <v>6.8996565853396297E-3</v>
      </c>
      <c r="AL55" s="23"/>
      <c r="AN55" s="24"/>
      <c r="AR55" s="23"/>
      <c r="AT55" s="24"/>
      <c r="AU55" s="23"/>
      <c r="AW55" s="24"/>
    </row>
    <row r="56" spans="1:49" s="22" customFormat="1" x14ac:dyDescent="0.2">
      <c r="A56" s="22" t="s">
        <v>128</v>
      </c>
      <c r="B56" s="23">
        <v>0.53300000000000003</v>
      </c>
      <c r="D56" s="24">
        <v>5.9467670074388398E-3</v>
      </c>
      <c r="E56" s="23">
        <v>7.0000000000000007E-2</v>
      </c>
      <c r="F56" s="22" t="s">
        <v>8</v>
      </c>
      <c r="G56" s="24">
        <v>8.1232077936613401E-3</v>
      </c>
      <c r="H56" s="22">
        <v>0.504</v>
      </c>
      <c r="J56" s="24">
        <v>5.3211411535035603E-3</v>
      </c>
      <c r="K56" s="23">
        <v>0.67</v>
      </c>
      <c r="M56" s="24">
        <v>5.0936434199207303E-3</v>
      </c>
      <c r="N56" s="22">
        <v>3.0000000000000001E-3</v>
      </c>
      <c r="O56" s="22" t="s">
        <v>51</v>
      </c>
      <c r="P56" s="24">
        <v>1.01362793193267E-2</v>
      </c>
      <c r="Q56" s="22">
        <v>3.0000000000000001E-3</v>
      </c>
      <c r="R56" s="22" t="s">
        <v>51</v>
      </c>
      <c r="S56" s="22">
        <v>1.01901650718936E-2</v>
      </c>
      <c r="T56" s="23">
        <v>4.1000000000000002E-2</v>
      </c>
      <c r="U56" s="22" t="s">
        <v>7</v>
      </c>
      <c r="V56" s="24">
        <v>9.1958981146658594E-3</v>
      </c>
      <c r="W56" s="22">
        <v>2.9000000000000001E-2</v>
      </c>
      <c r="X56" s="22" t="s">
        <v>7</v>
      </c>
      <c r="Y56" s="22">
        <v>8.7430197405547905E-3</v>
      </c>
      <c r="Z56" s="23">
        <v>0.64200000000000002</v>
      </c>
      <c r="AB56" s="24">
        <v>5.11494163611006E-3</v>
      </c>
      <c r="AC56" s="23">
        <v>0.58199999999999996</v>
      </c>
      <c r="AE56" s="24">
        <v>6.38633284827975E-3</v>
      </c>
      <c r="AF56" s="23">
        <v>0.79900000000000004</v>
      </c>
      <c r="AH56" s="24">
        <v>4.94472406582043E-3</v>
      </c>
      <c r="AI56" s="22">
        <v>0.56999999999999995</v>
      </c>
      <c r="AK56" s="22">
        <v>6.8320642765661603E-3</v>
      </c>
      <c r="AL56" s="23"/>
      <c r="AN56" s="24"/>
      <c r="AR56" s="23"/>
      <c r="AT56" s="24"/>
      <c r="AU56" s="23"/>
      <c r="AW56" s="24"/>
    </row>
    <row r="57" spans="1:49" s="22" customFormat="1" x14ac:dyDescent="0.2">
      <c r="A57" s="22" t="s">
        <v>29</v>
      </c>
      <c r="B57" s="23">
        <v>0.52800000000000002</v>
      </c>
      <c r="D57" s="24">
        <v>5.9168005908848704E-3</v>
      </c>
      <c r="E57" s="23">
        <v>0.93899999999999995</v>
      </c>
      <c r="G57" s="24">
        <v>3.84910590506781E-3</v>
      </c>
      <c r="H57" s="22">
        <v>0.48899999999999999</v>
      </c>
      <c r="J57" s="24">
        <v>5.7399227016108802E-3</v>
      </c>
      <c r="K57" s="23">
        <v>0.88900000000000001</v>
      </c>
      <c r="M57" s="24">
        <v>3.6087692417626901E-3</v>
      </c>
      <c r="N57" s="22">
        <v>0.47</v>
      </c>
      <c r="P57" s="24">
        <v>6.9672122539336297E-3</v>
      </c>
      <c r="Q57" s="22">
        <v>0.871</v>
      </c>
      <c r="S57" s="22">
        <v>5.8333425782821904E-3</v>
      </c>
      <c r="T57" s="23">
        <v>0.76400000000000001</v>
      </c>
      <c r="V57" s="24">
        <v>5.7953704018018203E-3</v>
      </c>
      <c r="W57" s="22">
        <v>0.82099999999999995</v>
      </c>
      <c r="Y57" s="22">
        <v>5.9325943843145596E-3</v>
      </c>
      <c r="Z57" s="23">
        <v>0.35</v>
      </c>
      <c r="AB57" s="24">
        <v>6.6881375133871204E-3</v>
      </c>
      <c r="AC57" s="23">
        <v>0.90100000000000002</v>
      </c>
      <c r="AE57" s="24">
        <v>4.3028301714369797E-3</v>
      </c>
      <c r="AF57" s="23">
        <v>0.82299999999999995</v>
      </c>
      <c r="AH57" s="24">
        <v>4.6706042215128099E-3</v>
      </c>
      <c r="AI57" s="22">
        <v>0.82899999999999996</v>
      </c>
      <c r="AK57" s="22">
        <v>5.4979768259563301E-3</v>
      </c>
      <c r="AL57" s="23"/>
      <c r="AN57" s="24"/>
      <c r="AR57" s="23"/>
      <c r="AT57" s="24"/>
      <c r="AU57" s="23"/>
      <c r="AW57" s="24"/>
    </row>
    <row r="58" spans="1:49" s="22" customFormat="1" x14ac:dyDescent="0.2">
      <c r="A58" s="22" t="s">
        <v>28</v>
      </c>
      <c r="B58" s="23">
        <v>3.5000000000000003E-2</v>
      </c>
      <c r="C58" s="22" t="s">
        <v>7</v>
      </c>
      <c r="D58" s="24">
        <v>1.3045765737126701E-2</v>
      </c>
      <c r="E58" s="23">
        <v>5.8999999999999997E-2</v>
      </c>
      <c r="F58" s="22" t="s">
        <v>8</v>
      </c>
      <c r="G58" s="24">
        <v>8.92037005224567E-3</v>
      </c>
      <c r="H58" s="22">
        <v>0.17299999999999999</v>
      </c>
      <c r="J58" s="24">
        <v>8.6181720080365596E-3</v>
      </c>
      <c r="K58" s="23">
        <v>0.26600000000000001</v>
      </c>
      <c r="M58" s="24">
        <v>7.2020789703248099E-3</v>
      </c>
      <c r="N58" s="22">
        <v>0.20699999999999999</v>
      </c>
      <c r="P58" s="24">
        <v>7.9010306176606204E-3</v>
      </c>
      <c r="Q58" s="22">
        <v>0.47199999999999998</v>
      </c>
      <c r="S58" s="22">
        <v>6.9630073987482803E-3</v>
      </c>
      <c r="T58" s="23">
        <v>0.08</v>
      </c>
      <c r="U58" s="22" t="s">
        <v>8</v>
      </c>
      <c r="V58" s="24">
        <v>9.0980629616788707E-3</v>
      </c>
      <c r="W58" s="22">
        <v>0.44700000000000001</v>
      </c>
      <c r="Y58" s="22">
        <v>6.99227395718513E-3</v>
      </c>
      <c r="Z58" s="23">
        <v>2.5999999999999999E-2</v>
      </c>
      <c r="AA58" s="22" t="s">
        <v>7</v>
      </c>
      <c r="AB58" s="24">
        <v>1.2808376233496101E-2</v>
      </c>
      <c r="AC58" s="23">
        <v>0.77400000000000002</v>
      </c>
      <c r="AE58" s="24">
        <v>5.2906108204485601E-3</v>
      </c>
      <c r="AF58" s="23">
        <v>0.36499999999999999</v>
      </c>
      <c r="AH58" s="24">
        <v>6.5103527569349701E-3</v>
      </c>
      <c r="AI58" s="22">
        <v>0.48399999999999999</v>
      </c>
      <c r="AK58" s="22">
        <v>6.8692315694516204E-3</v>
      </c>
      <c r="AL58" s="23"/>
      <c r="AN58" s="24"/>
      <c r="AR58" s="23"/>
      <c r="AT58" s="24"/>
      <c r="AU58" s="23"/>
      <c r="AW58" s="24"/>
    </row>
    <row r="59" spans="1:49" s="22" customFormat="1" x14ac:dyDescent="0.2">
      <c r="A59" s="22" t="s">
        <v>25</v>
      </c>
      <c r="B59" s="23">
        <v>0.249</v>
      </c>
      <c r="D59" s="24">
        <v>7.7939811124038104E-3</v>
      </c>
      <c r="E59" s="23">
        <v>0.248</v>
      </c>
      <c r="G59" s="24">
        <v>6.82710652882422E-3</v>
      </c>
      <c r="H59" s="22">
        <v>0.26900000000000002</v>
      </c>
      <c r="J59" s="24">
        <v>7.2967310896938998E-3</v>
      </c>
      <c r="K59" s="23">
        <v>0.19500000000000001</v>
      </c>
      <c r="M59" s="24">
        <v>8.0170518585472601E-3</v>
      </c>
      <c r="N59" s="22">
        <v>6.6000000000000003E-2</v>
      </c>
      <c r="O59" s="22" t="s">
        <v>8</v>
      </c>
      <c r="P59" s="24">
        <v>1.01189248199554E-2</v>
      </c>
      <c r="Q59" s="22">
        <v>0.19</v>
      </c>
      <c r="S59" s="22">
        <v>8.31717347648008E-3</v>
      </c>
      <c r="T59" s="23">
        <v>0.253</v>
      </c>
      <c r="V59" s="24">
        <v>7.8434021066368202E-3</v>
      </c>
      <c r="W59" s="22">
        <v>0.34799999999999998</v>
      </c>
      <c r="Y59" s="22">
        <v>7.2544297706616401E-3</v>
      </c>
      <c r="Z59" s="23">
        <v>7.1999999999999995E-2</v>
      </c>
      <c r="AA59" s="22" t="s">
        <v>8</v>
      </c>
      <c r="AB59" s="24">
        <v>1.0912294025735601E-2</v>
      </c>
      <c r="AC59" s="23">
        <v>0.309</v>
      </c>
      <c r="AE59" s="24">
        <v>7.4089414960437196E-3</v>
      </c>
      <c r="AF59" s="23">
        <v>0.17100000000000001</v>
      </c>
      <c r="AH59" s="24">
        <v>7.9863805542599291E-3</v>
      </c>
      <c r="AI59" s="22">
        <v>0.42399999999999999</v>
      </c>
      <c r="AK59" s="22">
        <v>6.7750469981926898E-3</v>
      </c>
      <c r="AL59" s="23"/>
      <c r="AN59" s="24"/>
      <c r="AR59" s="23"/>
      <c r="AT59" s="24"/>
      <c r="AU59" s="23"/>
      <c r="AW59" s="24"/>
    </row>
    <row r="60" spans="1:49" s="16" customFormat="1" x14ac:dyDescent="0.2">
      <c r="A60" s="16" t="s">
        <v>24</v>
      </c>
      <c r="B60" s="17">
        <v>1.9E-2</v>
      </c>
      <c r="C60" s="16" t="s">
        <v>7</v>
      </c>
      <c r="D60" s="18">
        <v>1.42820229024587E-2</v>
      </c>
      <c r="E60" s="17">
        <v>0.251</v>
      </c>
      <c r="G60" s="18">
        <v>6.9988666455938304E-3</v>
      </c>
      <c r="H60" s="16">
        <v>3.5999999999999997E-2</v>
      </c>
      <c r="I60" s="16" t="s">
        <v>7</v>
      </c>
      <c r="J60" s="18">
        <v>1.36526350263257E-2</v>
      </c>
      <c r="K60" s="17">
        <v>0.17100000000000001</v>
      </c>
      <c r="M60" s="18">
        <v>7.9701206667389096E-3</v>
      </c>
      <c r="N60" s="16">
        <v>0.188</v>
      </c>
      <c r="P60" s="18">
        <v>8.1751025448897896E-3</v>
      </c>
      <c r="Q60" s="16">
        <v>0.58299999999999996</v>
      </c>
      <c r="S60" s="16">
        <v>6.6285800093676597E-3</v>
      </c>
      <c r="T60" s="17">
        <v>0.45900000000000002</v>
      </c>
      <c r="V60" s="18">
        <v>6.7627830133563296E-3</v>
      </c>
      <c r="W60" s="16">
        <v>0.66300000000000003</v>
      </c>
      <c r="Y60" s="16">
        <v>6.2410058737384696E-3</v>
      </c>
      <c r="Z60" s="17">
        <v>8.7999999999999995E-2</v>
      </c>
      <c r="AA60" s="16" t="s">
        <v>8</v>
      </c>
      <c r="AB60" s="18">
        <v>1.0240879278518999E-2</v>
      </c>
      <c r="AC60" s="17">
        <v>0.39400000000000002</v>
      </c>
      <c r="AE60" s="18">
        <v>7.0339118297134996E-3</v>
      </c>
      <c r="AF60" s="17">
        <v>0.84899999999999998</v>
      </c>
      <c r="AH60" s="18">
        <v>4.2253398745168997E-3</v>
      </c>
      <c r="AI60" s="16">
        <v>0.84</v>
      </c>
      <c r="AK60" s="16">
        <v>5.2625529506255004E-3</v>
      </c>
      <c r="AL60" s="17"/>
      <c r="AN60" s="18"/>
      <c r="AR60" s="17"/>
      <c r="AT60" s="18"/>
      <c r="AU60" s="17"/>
      <c r="AW60" s="18"/>
    </row>
    <row r="61" spans="1:49" s="20" customFormat="1" x14ac:dyDescent="0.2">
      <c r="A61" s="20" t="s">
        <v>38</v>
      </c>
      <c r="B61" s="19">
        <v>0.91500000000000004</v>
      </c>
      <c r="D61" s="21">
        <v>1.1511810952142199E-2</v>
      </c>
      <c r="E61" s="19">
        <v>0.76900000000000002</v>
      </c>
      <c r="G61" s="21">
        <v>1.39444891980598E-2</v>
      </c>
      <c r="H61" s="20">
        <v>0.87</v>
      </c>
      <c r="J61" s="21">
        <v>1.07313382084564E-2</v>
      </c>
      <c r="K61" s="19">
        <v>0.85099999999999998</v>
      </c>
      <c r="M61" s="21">
        <v>1.2253388242048399E-2</v>
      </c>
      <c r="N61" s="20">
        <v>0.68899999999999995</v>
      </c>
      <c r="P61" s="21">
        <v>1.7331033771642301E-2</v>
      </c>
      <c r="Q61" s="20">
        <v>0.76900000000000002</v>
      </c>
      <c r="S61" s="20">
        <v>1.6915968284227301E-2</v>
      </c>
      <c r="T61" s="19">
        <v>0.73699999999999999</v>
      </c>
      <c r="V61" s="21">
        <v>1.6478784717614301E-2</v>
      </c>
      <c r="W61" s="20">
        <v>0.83599999999999997</v>
      </c>
      <c r="Y61" s="20">
        <v>1.63539425571038E-2</v>
      </c>
      <c r="Z61" s="19">
        <v>0.873</v>
      </c>
      <c r="AB61" s="21">
        <v>1.2205138448504399E-2</v>
      </c>
      <c r="AC61" s="19">
        <v>0.44600000000000001</v>
      </c>
      <c r="AE61" s="21">
        <v>1.9887926740850499E-2</v>
      </c>
      <c r="AF61" s="19">
        <v>0.91200000000000003</v>
      </c>
      <c r="AH61" s="21">
        <v>1.24181732192803E-2</v>
      </c>
      <c r="AI61" s="20">
        <v>0.63300000000000001</v>
      </c>
      <c r="AK61" s="20">
        <v>1.8500950005528101E-2</v>
      </c>
      <c r="AL61" s="19"/>
      <c r="AN61" s="21"/>
      <c r="AR61" s="19"/>
      <c r="AT61" s="21"/>
      <c r="AU61" s="19"/>
      <c r="AW61" s="21"/>
    </row>
    <row r="62" spans="1:49" s="22" customFormat="1" x14ac:dyDescent="0.2">
      <c r="A62" s="22" t="s">
        <v>39</v>
      </c>
      <c r="B62" s="23">
        <v>5.7000000000000002E-2</v>
      </c>
      <c r="C62" s="22" t="s">
        <v>8</v>
      </c>
      <c r="D62" s="24">
        <v>0.44545440122119501</v>
      </c>
      <c r="E62" s="23">
        <v>6.4000000000000001E-2</v>
      </c>
      <c r="F62" s="22" t="s">
        <v>8</v>
      </c>
      <c r="G62" s="24">
        <v>0.41755676724998803</v>
      </c>
      <c r="H62" s="22">
        <v>0.13400000000000001</v>
      </c>
      <c r="J62" s="24">
        <v>0.42107491494357002</v>
      </c>
      <c r="K62" s="23">
        <v>0.08</v>
      </c>
      <c r="L62" s="22" t="s">
        <v>8</v>
      </c>
      <c r="M62" s="24">
        <v>0.42104316365216399</v>
      </c>
      <c r="N62" s="22">
        <v>0.03</v>
      </c>
      <c r="O62" s="22" t="s">
        <v>7</v>
      </c>
      <c r="P62" s="24">
        <v>0.48706034507524898</v>
      </c>
      <c r="Q62" s="22">
        <v>0.105</v>
      </c>
      <c r="S62" s="22">
        <v>0.50647185345774504</v>
      </c>
      <c r="T62" s="23">
        <v>2.7E-2</v>
      </c>
      <c r="U62" s="22" t="s">
        <v>7</v>
      </c>
      <c r="V62" s="24">
        <v>0.48337809934756398</v>
      </c>
      <c r="W62" s="22">
        <v>9.9000000000000005E-2</v>
      </c>
      <c r="X62" s="22" t="s">
        <v>8</v>
      </c>
      <c r="Y62" s="22">
        <v>0.50520766400754602</v>
      </c>
      <c r="Z62" s="23">
        <v>6.8000000000000005E-2</v>
      </c>
      <c r="AA62" s="22" t="s">
        <v>8</v>
      </c>
      <c r="AB62" s="24">
        <v>0.44497016875668199</v>
      </c>
      <c r="AC62" s="23">
        <v>8.5000000000000006E-2</v>
      </c>
      <c r="AD62" s="22" t="s">
        <v>8</v>
      </c>
      <c r="AE62" s="24">
        <v>0.49352580383084699</v>
      </c>
      <c r="AF62" s="23">
        <v>0.16600000000000001</v>
      </c>
      <c r="AH62" s="24">
        <v>0.42222588104512898</v>
      </c>
      <c r="AI62" s="22">
        <v>0.11700000000000001</v>
      </c>
      <c r="AK62" s="22">
        <v>0.48978195291118998</v>
      </c>
      <c r="AL62" s="23"/>
      <c r="AN62" s="24"/>
      <c r="AR62" s="23"/>
      <c r="AT62" s="24"/>
      <c r="AU62" s="23"/>
      <c r="AW62" s="24"/>
    </row>
    <row r="63" spans="1:49" s="22" customFormat="1" x14ac:dyDescent="0.2">
      <c r="A63" s="22" t="s">
        <v>126</v>
      </c>
      <c r="B63" s="23">
        <v>0.90200000000000002</v>
      </c>
      <c r="D63" s="24">
        <v>3.8904912401305299E-3</v>
      </c>
      <c r="E63" s="23">
        <v>0.94399999999999995</v>
      </c>
      <c r="G63" s="24">
        <v>3.9011592434478998E-3</v>
      </c>
      <c r="H63" s="22">
        <v>0.72699999999999998</v>
      </c>
      <c r="J63" s="24">
        <v>4.3519960940324098E-3</v>
      </c>
      <c r="K63" s="23">
        <v>0.96499999999999997</v>
      </c>
      <c r="M63" s="24">
        <v>3.0151086950129299E-3</v>
      </c>
      <c r="N63" s="22">
        <v>0.84699999999999998</v>
      </c>
      <c r="P63" s="24">
        <v>5.6684794477694896E-3</v>
      </c>
      <c r="Q63" s="22">
        <v>0.85199999999999998</v>
      </c>
      <c r="S63" s="22">
        <v>5.9001024705178503E-3</v>
      </c>
      <c r="T63" s="23">
        <v>0.70799999999999996</v>
      </c>
      <c r="V63" s="24">
        <v>6.45918315526806E-3</v>
      </c>
      <c r="W63" s="22">
        <v>0.73399999999999999</v>
      </c>
      <c r="Y63" s="22">
        <v>6.6114859300438504E-3</v>
      </c>
      <c r="Z63" s="23">
        <v>0.629</v>
      </c>
      <c r="AB63" s="24">
        <v>5.6126644387308796E-3</v>
      </c>
      <c r="AC63" s="23">
        <v>0.84599999999999997</v>
      </c>
      <c r="AE63" s="24">
        <v>5.10033991967585E-3</v>
      </c>
      <c r="AF63" s="23">
        <v>0.52400000000000002</v>
      </c>
      <c r="AH63" s="24">
        <v>6.5315346829957202E-3</v>
      </c>
      <c r="AI63" s="22">
        <v>0.61699999999999999</v>
      </c>
      <c r="AK63" s="22">
        <v>7.0548771683042197E-3</v>
      </c>
      <c r="AL63" s="23"/>
      <c r="AN63" s="24"/>
      <c r="AR63" s="23"/>
      <c r="AT63" s="24"/>
      <c r="AU63" s="23"/>
      <c r="AW63" s="24"/>
    </row>
    <row r="64" spans="1:49" s="22" customFormat="1" x14ac:dyDescent="0.2">
      <c r="A64" s="22" t="s">
        <v>127</v>
      </c>
      <c r="B64" s="23">
        <v>0.67700000000000005</v>
      </c>
      <c r="D64" s="24">
        <v>5.3904986739191996E-3</v>
      </c>
      <c r="E64" s="23">
        <v>0.83699999999999997</v>
      </c>
      <c r="G64" s="24">
        <v>4.6471692059799697E-3</v>
      </c>
      <c r="H64" s="22">
        <v>0.41399999999999998</v>
      </c>
      <c r="J64" s="24">
        <v>6.6388174677267896E-3</v>
      </c>
      <c r="K64" s="23">
        <v>0.94499999999999995</v>
      </c>
      <c r="M64" s="24">
        <v>3.2747503981717298E-3</v>
      </c>
      <c r="N64" s="22">
        <v>0.77900000000000003</v>
      </c>
      <c r="P64" s="24">
        <v>5.9839782384028904E-3</v>
      </c>
      <c r="Q64" s="22">
        <v>0.76</v>
      </c>
      <c r="S64" s="22">
        <v>6.5151974054060598E-3</v>
      </c>
      <c r="T64" s="23">
        <v>0.73199999999999998</v>
      </c>
      <c r="V64" s="24">
        <v>6.0143360823280197E-3</v>
      </c>
      <c r="W64" s="22">
        <v>0.91</v>
      </c>
      <c r="Y64" s="22">
        <v>5.7504903412691098E-3</v>
      </c>
      <c r="Z64" s="23">
        <v>0.81</v>
      </c>
      <c r="AB64" s="24">
        <v>4.0436484558445803E-3</v>
      </c>
      <c r="AC64" s="23">
        <v>0.876</v>
      </c>
      <c r="AE64" s="24">
        <v>4.8668969545060201E-3</v>
      </c>
      <c r="AF64" s="23">
        <v>0.51900000000000002</v>
      </c>
      <c r="AH64" s="24">
        <v>6.1816621219539904E-3</v>
      </c>
      <c r="AI64" s="22">
        <v>0.89600000000000002</v>
      </c>
      <c r="AK64" s="22">
        <v>5.1647418413621297E-3</v>
      </c>
      <c r="AL64" s="23"/>
      <c r="AN64" s="24"/>
      <c r="AR64" s="23"/>
      <c r="AT64" s="24"/>
      <c r="AU64" s="23"/>
      <c r="AW64" s="24"/>
    </row>
    <row r="65" spans="1:49" x14ac:dyDescent="0.2">
      <c r="A65" t="s">
        <v>14</v>
      </c>
    </row>
    <row r="66" spans="1:49" x14ac:dyDescent="0.2">
      <c r="A66" t="s">
        <v>15</v>
      </c>
    </row>
    <row r="67" spans="1:49" x14ac:dyDescent="0.2">
      <c r="A67" t="s">
        <v>16</v>
      </c>
    </row>
    <row r="68" spans="1:49" x14ac:dyDescent="0.2">
      <c r="A68" t="s">
        <v>17</v>
      </c>
    </row>
    <row r="70" spans="1:49" x14ac:dyDescent="0.2">
      <c r="A70" s="72" t="s">
        <v>10</v>
      </c>
      <c r="N70" s="3">
        <v>1E-3</v>
      </c>
      <c r="O70" t="s">
        <v>11</v>
      </c>
      <c r="P70" s="4">
        <v>0.60775999999999997</v>
      </c>
    </row>
    <row r="72" spans="1:49" s="35" customFormat="1" x14ac:dyDescent="0.2">
      <c r="A72" s="35" t="s">
        <v>125</v>
      </c>
      <c r="B72" s="36">
        <v>0.35399999999999998</v>
      </c>
      <c r="D72" s="37">
        <v>7.11E-3</v>
      </c>
      <c r="E72" s="36">
        <v>0.63</v>
      </c>
      <c r="G72" s="37">
        <v>5.3800000000000002E-3</v>
      </c>
      <c r="H72" s="35">
        <v>0.11799999999999999</v>
      </c>
      <c r="J72" s="37">
        <v>9.6699999999999998E-3</v>
      </c>
      <c r="K72" s="36">
        <v>0.29799999999999999</v>
      </c>
      <c r="M72" s="37">
        <v>6.1799999999999997E-3</v>
      </c>
      <c r="N72" s="35">
        <v>0.33700000000000002</v>
      </c>
      <c r="P72" s="37">
        <v>7.3499999999999998E-3</v>
      </c>
      <c r="Q72" s="35">
        <v>0.26200000000000001</v>
      </c>
      <c r="S72" s="35">
        <v>7.6400000000000001E-3</v>
      </c>
      <c r="T72" s="36">
        <v>0.40899999999999997</v>
      </c>
      <c r="V72" s="37">
        <v>6.9800000000000001E-3</v>
      </c>
      <c r="W72" s="35">
        <v>0.30599999999999999</v>
      </c>
      <c r="Y72" s="35">
        <v>7.45E-3</v>
      </c>
      <c r="Z72" s="36">
        <v>0.10199999999999999</v>
      </c>
      <c r="AB72" s="37">
        <v>9.5600000000000008E-3</v>
      </c>
      <c r="AC72" s="36">
        <v>9.0999999999999998E-2</v>
      </c>
      <c r="AD72" s="35" t="s">
        <v>8</v>
      </c>
      <c r="AE72" s="37">
        <v>1.0030000000000001E-2</v>
      </c>
      <c r="AF72" s="36">
        <v>0.32200000000000001</v>
      </c>
      <c r="AH72" s="37">
        <v>6.7499999999999999E-3</v>
      </c>
      <c r="AI72" s="35">
        <v>0.315</v>
      </c>
      <c r="AK72" s="35">
        <v>7.7400000000000004E-3</v>
      </c>
      <c r="AL72" s="36">
        <v>0.36699999999999999</v>
      </c>
      <c r="AN72" s="37">
        <v>6.3699999999999998E-3</v>
      </c>
      <c r="AO72" s="35">
        <v>0.47399999999999998</v>
      </c>
      <c r="AQ72" s="35">
        <v>5.0200000000000002E-3</v>
      </c>
      <c r="AR72" s="36">
        <v>0.55800000000000005</v>
      </c>
      <c r="AT72" s="37">
        <v>6.1799999999999997E-3</v>
      </c>
      <c r="AU72" s="36">
        <v>0.29199999999999998</v>
      </c>
      <c r="AW72" s="37">
        <v>7.7000000000000002E-3</v>
      </c>
    </row>
    <row r="73" spans="1:49" x14ac:dyDescent="0.2">
      <c r="A73" t="s">
        <v>69</v>
      </c>
      <c r="B73" s="3">
        <v>3.9E-2</v>
      </c>
      <c r="C73" t="s">
        <v>7</v>
      </c>
      <c r="D73" s="4">
        <v>3.9149999999999997E-2</v>
      </c>
      <c r="E73" s="3">
        <v>0.19600000000000001</v>
      </c>
      <c r="G73" s="4">
        <v>2.273E-2</v>
      </c>
      <c r="H73">
        <v>2E-3</v>
      </c>
      <c r="I73" t="s">
        <v>51</v>
      </c>
      <c r="J73" s="4">
        <v>6.8360000000000004E-2</v>
      </c>
      <c r="K73" s="3">
        <v>0.04</v>
      </c>
      <c r="L73" t="s">
        <v>7</v>
      </c>
      <c r="M73" s="4">
        <v>3.2779999999999997E-2</v>
      </c>
      <c r="N73">
        <v>0.24</v>
      </c>
      <c r="P73" s="4">
        <v>2.5090000000000001E-2</v>
      </c>
      <c r="Q73">
        <v>0.58599999999999997</v>
      </c>
      <c r="S73">
        <v>2.2270000000000002E-2</v>
      </c>
      <c r="T73" s="3">
        <v>5.5E-2</v>
      </c>
      <c r="U73" t="s">
        <v>8</v>
      </c>
      <c r="V73" s="4">
        <v>2.843E-2</v>
      </c>
      <c r="W73" s="3">
        <v>0.17399999999999999</v>
      </c>
      <c r="Y73" s="4">
        <v>2.453E-2</v>
      </c>
      <c r="Z73" s="3">
        <v>2E-3</v>
      </c>
      <c r="AA73" t="s">
        <v>51</v>
      </c>
      <c r="AB73" s="4">
        <v>5.7610000000000001E-2</v>
      </c>
      <c r="AC73" s="3">
        <v>0.05</v>
      </c>
      <c r="AD73" t="s">
        <v>7</v>
      </c>
      <c r="AE73" s="4">
        <v>3.422E-2</v>
      </c>
      <c r="AF73" s="3">
        <v>6.5000000000000002E-2</v>
      </c>
      <c r="AG73" t="s">
        <v>8</v>
      </c>
      <c r="AH73" s="4">
        <v>2.9090000000000001E-2</v>
      </c>
      <c r="AI73">
        <v>0.28999999999999998</v>
      </c>
      <c r="AK73">
        <v>2.656E-2</v>
      </c>
      <c r="AL73" s="3">
        <v>0.35699999999999998</v>
      </c>
      <c r="AN73" s="4">
        <v>2.248E-2</v>
      </c>
      <c r="AO73">
        <v>0.41299999999999998</v>
      </c>
      <c r="AQ73">
        <v>1.8509999999999999E-2</v>
      </c>
      <c r="AR73" s="3">
        <v>4.2999999999999997E-2</v>
      </c>
      <c r="AS73" t="s">
        <v>7</v>
      </c>
      <c r="AT73" s="4">
        <v>2.827E-2</v>
      </c>
      <c r="AU73" s="3">
        <v>0.63800000000000001</v>
      </c>
      <c r="AW73" s="4">
        <v>1.9060000000000001E-2</v>
      </c>
    </row>
    <row r="74" spans="1:49" x14ac:dyDescent="0.2">
      <c r="A74" t="s">
        <v>70</v>
      </c>
      <c r="B74" s="3">
        <v>0.81200000000000006</v>
      </c>
      <c r="D74" s="4">
        <v>4.7200000000000002E-3</v>
      </c>
      <c r="E74" s="3">
        <v>0.89200000000000002</v>
      </c>
      <c r="G74" s="4">
        <v>5.0699999999999999E-3</v>
      </c>
      <c r="H74">
        <v>0.78100000000000003</v>
      </c>
      <c r="J74" s="4">
        <v>4.15E-3</v>
      </c>
      <c r="K74" s="3">
        <v>0.67800000000000005</v>
      </c>
      <c r="M74" s="4">
        <v>5.8300000000000001E-3</v>
      </c>
      <c r="N74">
        <v>0.89</v>
      </c>
      <c r="P74" s="4">
        <v>6.9199999999999999E-3</v>
      </c>
      <c r="Q74">
        <v>0.58799999999999997</v>
      </c>
      <c r="S74">
        <v>8.6300000000000005E-3</v>
      </c>
      <c r="T74" s="3">
        <v>0.81200000000000006</v>
      </c>
      <c r="V74" s="4">
        <v>6.96E-3</v>
      </c>
      <c r="W74">
        <v>0.49199999999999999</v>
      </c>
      <c r="Y74">
        <v>8.77E-3</v>
      </c>
      <c r="Z74" s="3">
        <v>0.36099999999999999</v>
      </c>
      <c r="AB74" s="4">
        <v>8.0300000000000007E-3</v>
      </c>
      <c r="AC74" s="3">
        <v>0.184</v>
      </c>
      <c r="AE74" s="4">
        <v>1.0449999999999999E-2</v>
      </c>
      <c r="AF74" s="3">
        <v>0.27100000000000002</v>
      </c>
      <c r="AH74" s="4">
        <v>8.5400000000000007E-3</v>
      </c>
      <c r="AI74">
        <v>0.61499999999999999</v>
      </c>
      <c r="AK74">
        <v>7.9299999999999995E-3</v>
      </c>
      <c r="AL74" s="3">
        <v>0.92700000000000005</v>
      </c>
      <c r="AN74" s="4">
        <v>1.6100000000000001E-3</v>
      </c>
      <c r="AO74">
        <v>0.80800000000000005</v>
      </c>
      <c r="AQ74">
        <v>2.63E-3</v>
      </c>
      <c r="AR74" s="3">
        <v>0.46300000000000002</v>
      </c>
      <c r="AT74" s="4">
        <v>7.8600000000000007E-3</v>
      </c>
      <c r="AU74" s="3">
        <v>0.30599999999999999</v>
      </c>
      <c r="AW74" s="4">
        <v>1.0319999999999999E-2</v>
      </c>
    </row>
    <row r="75" spans="1:49" s="35" customFormat="1" x14ac:dyDescent="0.2">
      <c r="A75" s="35" t="s">
        <v>62</v>
      </c>
      <c r="B75" s="36">
        <v>0.108</v>
      </c>
      <c r="D75" s="37">
        <v>1.8030000000000001E-2</v>
      </c>
      <c r="E75" s="36">
        <v>0.113</v>
      </c>
      <c r="G75" s="37">
        <v>1.567E-2</v>
      </c>
      <c r="H75" s="35">
        <v>1.9E-2</v>
      </c>
      <c r="I75" s="35" t="s">
        <v>7</v>
      </c>
      <c r="J75" s="37">
        <v>2.9000000000000001E-2</v>
      </c>
      <c r="K75" s="36">
        <v>2E-3</v>
      </c>
      <c r="L75" s="35" t="s">
        <v>51</v>
      </c>
      <c r="M75" s="37">
        <v>2.9860000000000001E-2</v>
      </c>
      <c r="N75" s="35">
        <v>0.127</v>
      </c>
      <c r="P75" s="37">
        <v>1.3690000000000001E-2</v>
      </c>
      <c r="Q75" s="35">
        <v>0.81599999999999995</v>
      </c>
      <c r="S75" s="35">
        <v>1.1299999999999999E-2</v>
      </c>
      <c r="T75" s="36">
        <v>2.9000000000000001E-2</v>
      </c>
      <c r="U75" s="35" t="s">
        <v>7</v>
      </c>
      <c r="V75" s="37">
        <v>1.5389999999999999E-2</v>
      </c>
      <c r="W75" s="35">
        <v>0.51300000000000001</v>
      </c>
      <c r="Y75" s="35">
        <v>1.204E-2</v>
      </c>
      <c r="Z75" s="36">
        <v>1E-3</v>
      </c>
      <c r="AA75" s="35" t="s">
        <v>11</v>
      </c>
      <c r="AB75" s="37">
        <v>3.5139999999999998E-2</v>
      </c>
      <c r="AC75" s="36">
        <v>0.01</v>
      </c>
      <c r="AD75" s="35" t="s">
        <v>51</v>
      </c>
      <c r="AE75" s="37">
        <v>2.5389999999999999E-2</v>
      </c>
      <c r="AF75" s="36">
        <v>1.7000000000000001E-2</v>
      </c>
      <c r="AG75" s="35" t="s">
        <v>7</v>
      </c>
      <c r="AH75" s="37">
        <v>2.0289999999999999E-2</v>
      </c>
      <c r="AI75" s="35">
        <v>0.14199999999999999</v>
      </c>
      <c r="AK75" s="35">
        <v>1.5100000000000001E-2</v>
      </c>
      <c r="AL75" s="36">
        <v>0.29199999999999998</v>
      </c>
      <c r="AN75" s="37">
        <v>1.44E-2</v>
      </c>
      <c r="AO75" s="35">
        <v>0.252</v>
      </c>
      <c r="AQ75" s="35">
        <v>1.566E-2</v>
      </c>
      <c r="AR75" s="36">
        <v>0.223</v>
      </c>
      <c r="AT75" s="37">
        <v>1.427E-2</v>
      </c>
      <c r="AU75" s="36">
        <v>0.96799999999999997</v>
      </c>
      <c r="AW75" s="37">
        <v>8.0700000000000008E-3</v>
      </c>
    </row>
    <row r="76" spans="1:49" s="35" customFormat="1" x14ac:dyDescent="0.2">
      <c r="A76" s="35" t="s">
        <v>72</v>
      </c>
      <c r="B76" s="36">
        <v>0.123</v>
      </c>
      <c r="D76" s="37">
        <v>1.2760000000000001E-2</v>
      </c>
      <c r="E76" s="36">
        <v>0.20899999999999999</v>
      </c>
      <c r="G76" s="37">
        <v>1.0189999999999999E-2</v>
      </c>
      <c r="H76" s="35">
        <v>3.5999999999999997E-2</v>
      </c>
      <c r="I76" s="35" t="s">
        <v>7</v>
      </c>
      <c r="J76" s="37">
        <v>1.8620000000000001E-2</v>
      </c>
      <c r="K76" s="36">
        <v>1.7999999999999999E-2</v>
      </c>
      <c r="L76" s="35" t="s">
        <v>7</v>
      </c>
      <c r="M76" s="37">
        <v>1.6150000000000001E-2</v>
      </c>
      <c r="N76" s="35">
        <v>0.41399999999999998</v>
      </c>
      <c r="P76" s="37">
        <v>9.0200000000000002E-3</v>
      </c>
      <c r="Q76" s="35">
        <v>0.92800000000000005</v>
      </c>
      <c r="S76" s="35">
        <v>8.1899999999999994E-3</v>
      </c>
      <c r="T76" s="36">
        <v>0.183</v>
      </c>
      <c r="V76" s="37">
        <v>1.0120000000000001E-2</v>
      </c>
      <c r="W76" s="35">
        <v>0.64700000000000002</v>
      </c>
      <c r="Y76" s="35">
        <v>8.7899999999999992E-3</v>
      </c>
      <c r="Z76" s="36">
        <v>7.0000000000000001E-3</v>
      </c>
      <c r="AA76" s="35" t="s">
        <v>51</v>
      </c>
      <c r="AB76" s="37">
        <v>2.308E-2</v>
      </c>
      <c r="AC76" s="36">
        <v>3.0000000000000001E-3</v>
      </c>
      <c r="AD76" s="35" t="s">
        <v>51</v>
      </c>
      <c r="AE76" s="37">
        <v>2.171E-2</v>
      </c>
      <c r="AF76" s="36">
        <v>1.9E-2</v>
      </c>
      <c r="AG76" s="35" t="s">
        <v>7</v>
      </c>
      <c r="AH76" s="37">
        <v>1.444E-2</v>
      </c>
      <c r="AI76" s="35">
        <v>0.17199999999999999</v>
      </c>
      <c r="AK76" s="35">
        <v>1.1129999999999999E-2</v>
      </c>
      <c r="AL76" s="36">
        <v>0.216</v>
      </c>
      <c r="AN76" s="37">
        <v>1.3220000000000001E-2</v>
      </c>
      <c r="AO76" s="35">
        <v>0.17799999999999999</v>
      </c>
      <c r="AQ76" s="35">
        <v>1.359E-2</v>
      </c>
      <c r="AR76" s="36">
        <v>0.14899999999999999</v>
      </c>
      <c r="AT76" s="37">
        <v>1.0959999999999999E-2</v>
      </c>
      <c r="AU76" s="36">
        <v>0.876</v>
      </c>
      <c r="AW76" s="37">
        <v>6.77E-3</v>
      </c>
    </row>
    <row r="77" spans="1:49" s="35" customFormat="1" x14ac:dyDescent="0.2">
      <c r="A77" s="35" t="s">
        <v>73</v>
      </c>
      <c r="B77" s="36">
        <v>0.54800000000000004</v>
      </c>
      <c r="D77" s="37">
        <v>6.6800000000000002E-3</v>
      </c>
      <c r="E77" s="36">
        <v>0.73499999999999999</v>
      </c>
      <c r="G77" s="37">
        <v>6.3299999999999997E-3</v>
      </c>
      <c r="H77" s="35">
        <v>0.24099999999999999</v>
      </c>
      <c r="J77" s="37">
        <v>9.9900000000000006E-3</v>
      </c>
      <c r="K77" s="36">
        <v>0.377</v>
      </c>
      <c r="M77" s="37">
        <v>7.77E-3</v>
      </c>
      <c r="N77" s="35">
        <v>0.58099999999999996</v>
      </c>
      <c r="P77" s="37">
        <v>7.5100000000000002E-3</v>
      </c>
      <c r="Q77" s="35">
        <v>0.48399999999999999</v>
      </c>
      <c r="S77" s="35">
        <v>7.9799999999999992E-3</v>
      </c>
      <c r="T77" s="36">
        <v>0.40200000000000002</v>
      </c>
      <c r="V77" s="37">
        <v>8.0300000000000007E-3</v>
      </c>
      <c r="W77" s="35">
        <v>0.311</v>
      </c>
      <c r="Y77" s="35">
        <v>8.3599999999999994E-3</v>
      </c>
      <c r="Z77" s="36">
        <v>3.9E-2</v>
      </c>
      <c r="AA77" s="35" t="s">
        <v>7</v>
      </c>
      <c r="AB77" s="37">
        <v>1.4590000000000001E-2</v>
      </c>
      <c r="AC77" s="36">
        <v>3.5000000000000003E-2</v>
      </c>
      <c r="AD77" s="35" t="s">
        <v>7</v>
      </c>
      <c r="AE77" s="37">
        <v>1.393E-2</v>
      </c>
      <c r="AF77" s="36">
        <v>0.14000000000000001</v>
      </c>
      <c r="AH77" s="37">
        <v>9.4500000000000001E-3</v>
      </c>
      <c r="AI77" s="35">
        <v>0.46800000000000003</v>
      </c>
      <c r="AK77" s="35">
        <v>8.0099999999999998E-3</v>
      </c>
      <c r="AL77" s="36">
        <v>0.42</v>
      </c>
      <c r="AN77" s="37">
        <v>7.3600000000000002E-3</v>
      </c>
      <c r="AO77" s="35">
        <v>0.63900000000000001</v>
      </c>
      <c r="AQ77" s="35">
        <v>4.4099999999999999E-3</v>
      </c>
      <c r="AR77" s="36">
        <v>0.498</v>
      </c>
      <c r="AT77" s="37">
        <v>7.6299999999999996E-3</v>
      </c>
      <c r="AU77" s="36">
        <v>0.40699999999999997</v>
      </c>
      <c r="AW77" s="37">
        <v>8.0800000000000004E-3</v>
      </c>
    </row>
    <row r="79" spans="1:49" x14ac:dyDescent="0.2">
      <c r="A79" t="s">
        <v>74</v>
      </c>
      <c r="B79" s="3">
        <v>0.08</v>
      </c>
      <c r="C79" t="s">
        <v>8</v>
      </c>
      <c r="D79" s="4">
        <v>2.503E-2</v>
      </c>
      <c r="E79" s="3">
        <v>1.7000000000000001E-2</v>
      </c>
      <c r="F79" t="s">
        <v>7</v>
      </c>
      <c r="G79" s="4">
        <v>2.5239999999999999E-2</v>
      </c>
      <c r="H79">
        <v>0.17199999999999999</v>
      </c>
      <c r="J79" s="4">
        <v>2.3130000000000001E-2</v>
      </c>
      <c r="K79" s="3">
        <v>2E-3</v>
      </c>
      <c r="L79" t="s">
        <v>51</v>
      </c>
      <c r="M79" s="4">
        <v>0.04</v>
      </c>
      <c r="N79">
        <v>0.32900000000000001</v>
      </c>
      <c r="P79" s="4">
        <v>1.6389999999999998E-2</v>
      </c>
      <c r="Q79">
        <v>0.51900000000000002</v>
      </c>
      <c r="S79">
        <v>1.567E-2</v>
      </c>
      <c r="T79" s="3">
        <v>0.129</v>
      </c>
      <c r="V79" s="4">
        <v>1.7989999999999999E-2</v>
      </c>
      <c r="W79">
        <v>0.33200000000000002</v>
      </c>
      <c r="Y79">
        <v>1.634E-2</v>
      </c>
      <c r="Z79" s="3">
        <v>1.2E-2</v>
      </c>
      <c r="AA79" t="s">
        <v>7</v>
      </c>
      <c r="AB79" s="4">
        <v>3.4599999999999999E-2</v>
      </c>
      <c r="AC79" s="3">
        <v>0.01</v>
      </c>
      <c r="AD79" t="s">
        <v>51</v>
      </c>
      <c r="AE79" s="4">
        <v>3.3149999999999999E-2</v>
      </c>
      <c r="AF79" s="3">
        <v>2.5000000000000001E-2</v>
      </c>
      <c r="AG79" t="s">
        <v>7</v>
      </c>
      <c r="AH79" s="4">
        <v>2.547E-2</v>
      </c>
      <c r="AI79">
        <v>3.2000000000000001E-2</v>
      </c>
      <c r="AJ79" t="s">
        <v>7</v>
      </c>
      <c r="AK79">
        <v>2.4170000000000001E-2</v>
      </c>
      <c r="AL79" s="3">
        <v>0.34599999999999997</v>
      </c>
      <c r="AN79" s="4">
        <v>1.6500000000000001E-2</v>
      </c>
      <c r="AO79">
        <v>0.111</v>
      </c>
      <c r="AQ79">
        <v>2.8549999999999999E-2</v>
      </c>
      <c r="AR79" s="3">
        <v>0.60399999999999998</v>
      </c>
      <c r="AT79" s="4">
        <v>1.5140000000000001E-2</v>
      </c>
      <c r="AU79" s="3">
        <v>0.879</v>
      </c>
      <c r="AW79" s="4">
        <v>1.157E-2</v>
      </c>
    </row>
    <row r="80" spans="1:49" x14ac:dyDescent="0.2">
      <c r="A80" t="s">
        <v>75</v>
      </c>
      <c r="B80" s="3">
        <v>0.115</v>
      </c>
      <c r="D80" s="4">
        <v>1.736E-2</v>
      </c>
      <c r="E80" s="3">
        <v>5.3999999999999999E-2</v>
      </c>
      <c r="F80" t="s">
        <v>8</v>
      </c>
      <c r="G80" s="4">
        <v>1.6140000000000002E-2</v>
      </c>
      <c r="H80">
        <v>0.115</v>
      </c>
      <c r="J80" s="4">
        <v>1.8800000000000001E-2</v>
      </c>
      <c r="K80" s="3">
        <v>8.0000000000000002E-3</v>
      </c>
      <c r="L80" t="s">
        <v>51</v>
      </c>
      <c r="M80" s="4">
        <v>2.4140000000000002E-2</v>
      </c>
      <c r="N80">
        <v>0.65600000000000003</v>
      </c>
      <c r="P80" s="4">
        <v>1.0970000000000001E-2</v>
      </c>
      <c r="Q80">
        <v>0.871</v>
      </c>
      <c r="S80">
        <v>1.094E-2</v>
      </c>
      <c r="T80" s="3">
        <v>0.106</v>
      </c>
      <c r="V80" s="4">
        <v>1.3650000000000001E-2</v>
      </c>
      <c r="W80">
        <v>0.37</v>
      </c>
      <c r="Y80">
        <v>1.226E-2</v>
      </c>
      <c r="Z80" s="3">
        <v>1.6E-2</v>
      </c>
      <c r="AA80" t="s">
        <v>7</v>
      </c>
      <c r="AB80" s="4">
        <v>2.4989999999999998E-2</v>
      </c>
      <c r="AC80" s="3">
        <v>6.0000000000000001E-3</v>
      </c>
      <c r="AD80" t="s">
        <v>51</v>
      </c>
      <c r="AE80" s="4">
        <v>2.768E-2</v>
      </c>
      <c r="AF80" s="3">
        <v>8.0000000000000002E-3</v>
      </c>
      <c r="AG80" t="s">
        <v>51</v>
      </c>
      <c r="AH80" s="4">
        <v>2.0240000000000001E-2</v>
      </c>
      <c r="AI80">
        <v>4.4999999999999998E-2</v>
      </c>
      <c r="AJ80" t="s">
        <v>7</v>
      </c>
      <c r="AK80">
        <v>1.728E-2</v>
      </c>
      <c r="AL80" s="3">
        <v>0.434</v>
      </c>
      <c r="AN80" s="4">
        <v>1.0370000000000001E-2</v>
      </c>
      <c r="AO80">
        <v>0.113</v>
      </c>
      <c r="AQ80">
        <v>2.0570000000000001E-2</v>
      </c>
      <c r="AR80" s="3">
        <v>0.21</v>
      </c>
      <c r="AT80" s="4">
        <v>1.337E-2</v>
      </c>
      <c r="AU80" s="3">
        <v>0.63700000000000001</v>
      </c>
      <c r="AW80" s="4">
        <v>1.0630000000000001E-2</v>
      </c>
    </row>
    <row r="81" spans="1:49" x14ac:dyDescent="0.2">
      <c r="A81" t="s">
        <v>76</v>
      </c>
      <c r="B81" s="3">
        <v>0.65200000000000002</v>
      </c>
      <c r="D81" s="4">
        <v>7.9500000000000005E-3</v>
      </c>
      <c r="E81" s="3">
        <v>0.59399999999999997</v>
      </c>
      <c r="G81" s="4">
        <v>8.8699999999999994E-3</v>
      </c>
      <c r="H81">
        <v>0.58599999999999997</v>
      </c>
      <c r="J81" s="4">
        <v>7.9399999999999991E-3</v>
      </c>
      <c r="K81" s="3">
        <v>0.20499999999999999</v>
      </c>
      <c r="M81" s="4">
        <v>1.188E-2</v>
      </c>
      <c r="N81">
        <v>0.92100000000000004</v>
      </c>
      <c r="P81" s="4">
        <v>8.6700000000000006E-3</v>
      </c>
      <c r="Q81">
        <v>0.68799999999999994</v>
      </c>
      <c r="S81">
        <v>1.001E-2</v>
      </c>
      <c r="T81" s="3">
        <v>0.373</v>
      </c>
      <c r="V81" s="4">
        <v>1.0489999999999999E-2</v>
      </c>
      <c r="W81">
        <v>0.33400000000000002</v>
      </c>
      <c r="Y81">
        <v>1.094E-2</v>
      </c>
      <c r="Z81" s="3">
        <v>0.188</v>
      </c>
      <c r="AB81" s="4">
        <v>1.3180000000000001E-2</v>
      </c>
      <c r="AC81" s="3">
        <v>6.6000000000000003E-2</v>
      </c>
      <c r="AD81" t="s">
        <v>8</v>
      </c>
      <c r="AE81" s="4">
        <v>1.677E-2</v>
      </c>
      <c r="AF81" s="3">
        <v>9.1999999999999998E-2</v>
      </c>
      <c r="AG81" t="s">
        <v>8</v>
      </c>
      <c r="AH81" s="4">
        <v>1.3010000000000001E-2</v>
      </c>
      <c r="AI81">
        <v>0.32700000000000001</v>
      </c>
      <c r="AK81">
        <v>1.1520000000000001E-2</v>
      </c>
      <c r="AL81" s="3">
        <v>0.69399999999999995</v>
      </c>
      <c r="AN81" s="4">
        <v>5.3600000000000002E-3</v>
      </c>
      <c r="AO81">
        <v>0.66500000000000004</v>
      </c>
      <c r="AQ81">
        <v>5.3499999999999997E-3</v>
      </c>
      <c r="AR81" s="3">
        <v>0.51200000000000001</v>
      </c>
      <c r="AT81" s="4">
        <v>9.8099999999999993E-3</v>
      </c>
      <c r="AU81" s="3">
        <v>0.40699999999999997</v>
      </c>
      <c r="AW81" s="4">
        <v>1.085E-2</v>
      </c>
    </row>
    <row r="83" spans="1:49" x14ac:dyDescent="0.2">
      <c r="A83" t="s">
        <v>77</v>
      </c>
      <c r="B83" s="3">
        <v>0.24</v>
      </c>
      <c r="D83" s="4">
        <v>6.8430000000000005E-2</v>
      </c>
      <c r="E83" s="3">
        <v>0.72599999999999998</v>
      </c>
      <c r="G83" s="4">
        <v>4.7370000000000002E-2</v>
      </c>
      <c r="H83">
        <v>1.2E-2</v>
      </c>
      <c r="I83" t="s">
        <v>7</v>
      </c>
      <c r="J83" s="4">
        <v>0.17463000000000001</v>
      </c>
      <c r="K83" s="3">
        <v>4.5999999999999999E-2</v>
      </c>
      <c r="L83" t="s">
        <v>7</v>
      </c>
      <c r="M83" s="4">
        <v>9.0039999999999995E-2</v>
      </c>
      <c r="N83">
        <v>0.16700000000000001</v>
      </c>
      <c r="P83" s="4">
        <v>6.3810000000000006E-2</v>
      </c>
      <c r="Q83">
        <v>0.68700000000000006</v>
      </c>
      <c r="S83">
        <v>5.0869999999999999E-2</v>
      </c>
      <c r="T83" s="3">
        <v>0.224</v>
      </c>
      <c r="V83" s="4">
        <v>6.3850000000000004E-2</v>
      </c>
      <c r="W83">
        <v>0.52300000000000002</v>
      </c>
      <c r="Y83">
        <v>5.389E-2</v>
      </c>
      <c r="Z83" s="3">
        <v>3.0000000000000001E-3</v>
      </c>
      <c r="AA83" t="s">
        <v>51</v>
      </c>
      <c r="AB83" s="4">
        <v>0.15479000000000001</v>
      </c>
      <c r="AC83" s="3">
        <v>0.42299999999999999</v>
      </c>
      <c r="AE83" s="4">
        <v>5.5539999999999999E-2</v>
      </c>
      <c r="AF83" s="3">
        <v>8.2000000000000003E-2</v>
      </c>
      <c r="AG83" t="s">
        <v>8</v>
      </c>
      <c r="AH83" s="4">
        <v>8.5760000000000003E-2</v>
      </c>
      <c r="AI83">
        <v>0.55400000000000005</v>
      </c>
      <c r="AK83">
        <v>5.457E-2</v>
      </c>
      <c r="AL83" s="3">
        <v>0.96499999999999997</v>
      </c>
      <c r="AN83" s="4">
        <v>1.12E-2</v>
      </c>
      <c r="AO83">
        <v>0.96399999999999997</v>
      </c>
      <c r="AQ83">
        <v>7.5199999999999998E-3</v>
      </c>
      <c r="AR83" s="3">
        <v>4.7E-2</v>
      </c>
      <c r="AS83" t="s">
        <v>7</v>
      </c>
      <c r="AT83" s="4">
        <v>8.0339999999999995E-2</v>
      </c>
      <c r="AU83" s="3">
        <v>0.78200000000000003</v>
      </c>
      <c r="AW83" s="4">
        <v>4.7460000000000002E-2</v>
      </c>
    </row>
    <row r="84" spans="1:49" x14ac:dyDescent="0.2">
      <c r="A84" t="s">
        <v>78</v>
      </c>
      <c r="B84" s="3">
        <v>0.156</v>
      </c>
      <c r="D84" s="4">
        <v>5.6800000000000003E-2</v>
      </c>
      <c r="E84" s="3">
        <v>0.55200000000000005</v>
      </c>
      <c r="G84" s="4">
        <v>3.7350000000000001E-2</v>
      </c>
      <c r="H84">
        <v>1.2999999999999999E-2</v>
      </c>
      <c r="I84" t="s">
        <v>7</v>
      </c>
      <c r="J84" s="4">
        <v>0.11407</v>
      </c>
      <c r="K84" s="3">
        <v>8.8999999999999996E-2</v>
      </c>
      <c r="L84" t="s">
        <v>8</v>
      </c>
      <c r="M84" s="4">
        <v>5.7700000000000001E-2</v>
      </c>
      <c r="N84">
        <v>0.33900000000000002</v>
      </c>
      <c r="P84" s="4">
        <v>4.3569999999999998E-2</v>
      </c>
      <c r="Q84">
        <v>0.81699999999999995</v>
      </c>
      <c r="S84">
        <v>3.5180000000000003E-2</v>
      </c>
      <c r="T84" s="3">
        <v>0.25600000000000001</v>
      </c>
      <c r="V84" s="4">
        <v>4.5789999999999997E-2</v>
      </c>
      <c r="W84">
        <v>0.58499999999999996</v>
      </c>
      <c r="Y84">
        <v>3.8080000000000003E-2</v>
      </c>
      <c r="Z84" s="3">
        <v>4.0000000000000001E-3</v>
      </c>
      <c r="AA84" t="s">
        <v>51</v>
      </c>
      <c r="AB84" s="4">
        <v>0.12564</v>
      </c>
      <c r="AC84" s="3">
        <v>0.27</v>
      </c>
      <c r="AE84" s="4">
        <v>4.6820000000000001E-2</v>
      </c>
      <c r="AF84" s="3">
        <v>6.9000000000000006E-2</v>
      </c>
      <c r="AG84" t="s">
        <v>8</v>
      </c>
      <c r="AH84" s="4">
        <v>5.8979999999999998E-2</v>
      </c>
      <c r="AI84">
        <v>0.50600000000000001</v>
      </c>
      <c r="AK84">
        <v>3.9410000000000001E-2</v>
      </c>
      <c r="AL84" s="3">
        <v>0.54800000000000004</v>
      </c>
      <c r="AN84" s="4">
        <v>3.3489999999999999E-2</v>
      </c>
      <c r="AO84">
        <v>0.91900000000000004</v>
      </c>
      <c r="AQ84">
        <v>1.175E-2</v>
      </c>
      <c r="AR84" s="3">
        <v>1.9E-2</v>
      </c>
      <c r="AS84" t="s">
        <v>7</v>
      </c>
      <c r="AT84" s="4">
        <v>6.4579999999999999E-2</v>
      </c>
      <c r="AU84" s="3">
        <v>0.55000000000000004</v>
      </c>
      <c r="AW84" s="4">
        <v>3.671E-2</v>
      </c>
    </row>
    <row r="85" spans="1:49" x14ac:dyDescent="0.2">
      <c r="A85" t="s">
        <v>79</v>
      </c>
      <c r="B85" s="3">
        <v>4.5999999999999999E-2</v>
      </c>
      <c r="C85" t="s">
        <v>7</v>
      </c>
      <c r="D85" s="4">
        <v>6.0040000000000003E-2</v>
      </c>
      <c r="E85" s="3">
        <v>0.37</v>
      </c>
      <c r="G85" s="4">
        <v>3.3610000000000001E-2</v>
      </c>
      <c r="H85">
        <v>2E-3</v>
      </c>
      <c r="I85" t="s">
        <v>51</v>
      </c>
      <c r="J85" s="4">
        <v>0.12422</v>
      </c>
      <c r="K85" s="3">
        <v>2.5999999999999999E-2</v>
      </c>
      <c r="L85" t="s">
        <v>7</v>
      </c>
      <c r="M85" s="4">
        <v>5.4919999999999997E-2</v>
      </c>
      <c r="N85">
        <v>5.2999999999999999E-2</v>
      </c>
      <c r="O85" t="s">
        <v>8</v>
      </c>
      <c r="P85" s="4">
        <v>4.231E-2</v>
      </c>
      <c r="Q85">
        <v>0.48899999999999999</v>
      </c>
      <c r="S85">
        <v>3.3570000000000003E-2</v>
      </c>
      <c r="T85" s="3">
        <v>3.6999999999999998E-2</v>
      </c>
      <c r="U85" t="s">
        <v>7</v>
      </c>
      <c r="V85" s="4">
        <v>4.6240000000000003E-2</v>
      </c>
      <c r="W85">
        <v>0.31900000000000001</v>
      </c>
      <c r="Y85">
        <v>3.5490000000000001E-2</v>
      </c>
      <c r="Z85" s="3">
        <v>3.0000000000000001E-3</v>
      </c>
      <c r="AA85" t="s">
        <v>51</v>
      </c>
      <c r="AB85" s="4">
        <v>0.13850999999999999</v>
      </c>
      <c r="AC85" s="3">
        <v>9.7000000000000003E-2</v>
      </c>
      <c r="AD85" t="s">
        <v>8</v>
      </c>
      <c r="AE85" s="4">
        <v>4.5490000000000003E-2</v>
      </c>
      <c r="AF85" s="3">
        <v>8.0000000000000002E-3</v>
      </c>
      <c r="AG85" t="s">
        <v>51</v>
      </c>
      <c r="AH85" s="4">
        <v>5.9209999999999999E-2</v>
      </c>
      <c r="AI85">
        <v>0.32800000000000001</v>
      </c>
      <c r="AK85">
        <v>3.7260000000000001E-2</v>
      </c>
      <c r="AL85" s="3">
        <v>0.311</v>
      </c>
      <c r="AN85" s="4">
        <v>4.0349999999999997E-2</v>
      </c>
      <c r="AO85">
        <v>0.499</v>
      </c>
      <c r="AQ85">
        <v>2.18E-2</v>
      </c>
      <c r="AR85" s="3">
        <v>3.0000000000000001E-3</v>
      </c>
      <c r="AS85" t="s">
        <v>51</v>
      </c>
      <c r="AT85" s="4">
        <v>6.8459999999999993E-2</v>
      </c>
      <c r="AU85" s="3">
        <v>0.33900000000000002</v>
      </c>
      <c r="AW85" s="4">
        <v>3.4360000000000002E-2</v>
      </c>
    </row>
    <row r="87" spans="1:49" s="35" customFormat="1" x14ac:dyDescent="0.2">
      <c r="A87" s="36" t="s">
        <v>174</v>
      </c>
      <c r="B87" s="36"/>
      <c r="D87" s="37"/>
      <c r="E87" s="36"/>
      <c r="G87" s="37"/>
      <c r="J87" s="37"/>
      <c r="K87" s="36"/>
      <c r="M87" s="37"/>
      <c r="P87" s="37"/>
      <c r="T87" s="36"/>
      <c r="V87" s="37"/>
      <c r="Z87" s="36">
        <v>9.1999999999999998E-2</v>
      </c>
      <c r="AA87" s="35" t="s">
        <v>8</v>
      </c>
      <c r="AB87" s="37">
        <v>3.2059999999999998E-2</v>
      </c>
      <c r="AC87" s="36"/>
      <c r="AE87" s="37"/>
      <c r="AF87" s="36"/>
      <c r="AH87" s="37"/>
      <c r="AL87" s="36"/>
      <c r="AN87" s="37"/>
      <c r="AR87" s="36"/>
      <c r="AT87" s="37"/>
      <c r="AU87" s="36"/>
      <c r="AW87" s="37"/>
    </row>
    <row r="88" spans="1:49" s="35" customFormat="1" x14ac:dyDescent="0.2">
      <c r="A88" s="36" t="s">
        <v>191</v>
      </c>
      <c r="B88" s="36"/>
      <c r="D88" s="37"/>
      <c r="E88" s="36"/>
      <c r="G88" s="37"/>
      <c r="J88" s="37"/>
      <c r="K88" s="36"/>
      <c r="M88" s="37"/>
      <c r="P88" s="37"/>
      <c r="T88" s="36"/>
      <c r="V88" s="37"/>
      <c r="Z88" s="36">
        <v>0.04</v>
      </c>
      <c r="AA88" s="35" t="s">
        <v>7</v>
      </c>
      <c r="AB88" s="37">
        <v>7.9200000000000007E-2</v>
      </c>
      <c r="AC88" s="36"/>
      <c r="AE88" s="37"/>
      <c r="AF88" s="36"/>
      <c r="AH88" s="37"/>
      <c r="AL88" s="36"/>
      <c r="AN88" s="37"/>
      <c r="AR88" s="36"/>
      <c r="AT88" s="37"/>
      <c r="AU88" s="36"/>
      <c r="AW88" s="37"/>
    </row>
    <row r="89" spans="1:49" s="35" customFormat="1" x14ac:dyDescent="0.2">
      <c r="A89" s="36" t="s">
        <v>192</v>
      </c>
      <c r="B89" s="36"/>
      <c r="D89" s="37"/>
      <c r="E89" s="36"/>
      <c r="G89" s="37"/>
      <c r="J89" s="37"/>
      <c r="K89" s="36"/>
      <c r="M89" s="37"/>
      <c r="P89" s="37"/>
      <c r="T89" s="36"/>
      <c r="V89" s="37"/>
      <c r="Z89" s="36">
        <v>3.2000000000000001E-2</v>
      </c>
      <c r="AA89" s="35" t="s">
        <v>7</v>
      </c>
      <c r="AB89" s="37">
        <v>8.5029999999999994E-2</v>
      </c>
      <c r="AC89" s="36"/>
      <c r="AE89" s="37"/>
      <c r="AF89" s="36"/>
      <c r="AH89" s="37"/>
      <c r="AL89" s="36"/>
      <c r="AN89" s="37"/>
      <c r="AR89" s="36"/>
      <c r="AT89" s="37"/>
      <c r="AU89" s="36"/>
      <c r="AW89" s="37"/>
    </row>
    <row r="90" spans="1:49" s="35" customFormat="1" x14ac:dyDescent="0.2">
      <c r="A90" s="36" t="s">
        <v>193</v>
      </c>
      <c r="B90" s="36"/>
      <c r="D90" s="37"/>
      <c r="E90" s="36"/>
      <c r="G90" s="37"/>
      <c r="J90" s="37"/>
      <c r="K90" s="36"/>
      <c r="M90" s="37"/>
      <c r="P90" s="37"/>
      <c r="T90" s="36"/>
      <c r="V90" s="37"/>
      <c r="Z90" s="36">
        <v>0.126</v>
      </c>
      <c r="AB90" s="37">
        <v>7.2749999999999995E-2</v>
      </c>
      <c r="AC90" s="36"/>
      <c r="AE90" s="37"/>
      <c r="AF90" s="36"/>
      <c r="AH90" s="37"/>
      <c r="AL90" s="36"/>
      <c r="AN90" s="37"/>
      <c r="AR90" s="36"/>
      <c r="AT90" s="37"/>
      <c r="AU90" s="36"/>
      <c r="AW90" s="37"/>
    </row>
    <row r="91" spans="1:49" s="35" customFormat="1" x14ac:dyDescent="0.2">
      <c r="A91" s="36" t="s">
        <v>194</v>
      </c>
      <c r="B91" s="36"/>
      <c r="D91" s="37"/>
      <c r="E91" s="36"/>
      <c r="G91" s="37"/>
      <c r="J91" s="37"/>
      <c r="K91" s="36"/>
      <c r="M91" s="37"/>
      <c r="P91" s="37"/>
      <c r="T91" s="36"/>
      <c r="V91" s="37"/>
      <c r="Z91" s="36">
        <v>0.30099999999999999</v>
      </c>
      <c r="AB91" s="37">
        <v>5.491E-2</v>
      </c>
      <c r="AC91" s="36"/>
      <c r="AE91" s="37"/>
      <c r="AF91" s="36"/>
      <c r="AH91" s="37"/>
      <c r="AL91" s="36"/>
      <c r="AN91" s="37"/>
      <c r="AR91" s="36"/>
      <c r="AT91" s="37"/>
      <c r="AU91" s="36"/>
      <c r="AW91" s="37"/>
    </row>
    <row r="92" spans="1:49" s="35" customFormat="1" x14ac:dyDescent="0.2">
      <c r="A92" s="36" t="s">
        <v>195</v>
      </c>
      <c r="B92" s="36"/>
      <c r="D92" s="37"/>
      <c r="E92" s="36"/>
      <c r="G92" s="37"/>
      <c r="J92" s="37"/>
      <c r="K92" s="36"/>
      <c r="M92" s="37"/>
      <c r="P92" s="37"/>
      <c r="T92" s="36"/>
      <c r="V92" s="37"/>
      <c r="Z92" s="36">
        <v>0.34699999999999998</v>
      </c>
      <c r="AB92" s="37">
        <v>5.3359999999999998E-2</v>
      </c>
      <c r="AC92" s="36"/>
      <c r="AE92" s="37"/>
      <c r="AF92" s="36"/>
      <c r="AH92" s="37"/>
      <c r="AL92" s="36"/>
      <c r="AN92" s="37"/>
      <c r="AR92" s="36"/>
      <c r="AT92" s="37"/>
      <c r="AU92" s="36"/>
      <c r="AW92" s="37"/>
    </row>
    <row r="93" spans="1:49" s="35" customFormat="1" x14ac:dyDescent="0.2">
      <c r="A93" s="36" t="s">
        <v>196</v>
      </c>
      <c r="B93" s="36"/>
      <c r="D93" s="37"/>
      <c r="E93" s="36"/>
      <c r="G93" s="37"/>
      <c r="J93" s="37"/>
      <c r="K93" s="36"/>
      <c r="M93" s="37"/>
      <c r="P93" s="37"/>
      <c r="T93" s="36"/>
      <c r="V93" s="37"/>
      <c r="Z93" s="36">
        <v>0.94899999999999995</v>
      </c>
      <c r="AB93" s="37">
        <v>3.4189999999999998E-2</v>
      </c>
      <c r="AC93" s="36"/>
      <c r="AE93" s="37"/>
      <c r="AF93" s="36"/>
      <c r="AH93" s="37"/>
      <c r="AL93" s="36"/>
      <c r="AN93" s="37"/>
      <c r="AR93" s="36"/>
      <c r="AT93" s="37"/>
      <c r="AU93" s="36"/>
      <c r="AW93" s="37"/>
    </row>
    <row r="94" spans="1:49" s="35" customFormat="1" x14ac:dyDescent="0.2">
      <c r="A94" s="36"/>
      <c r="B94" s="36"/>
      <c r="D94" s="37"/>
      <c r="E94" s="36"/>
      <c r="G94" s="37"/>
      <c r="J94" s="37"/>
      <c r="K94" s="36"/>
      <c r="M94" s="37"/>
      <c r="P94" s="37"/>
      <c r="T94" s="36"/>
      <c r="V94" s="37"/>
      <c r="Z94" s="36"/>
      <c r="AB94" s="37"/>
      <c r="AC94" s="36"/>
      <c r="AE94" s="37"/>
      <c r="AF94" s="36"/>
      <c r="AH94" s="37"/>
      <c r="AL94" s="36"/>
      <c r="AN94" s="37"/>
      <c r="AR94" s="36"/>
      <c r="AT94" s="37"/>
      <c r="AU94" s="36"/>
      <c r="AW94" s="37"/>
    </row>
    <row r="95" spans="1:49" s="35" customFormat="1" x14ac:dyDescent="0.2">
      <c r="A95" s="36" t="s">
        <v>173</v>
      </c>
      <c r="B95" s="36"/>
      <c r="D95" s="37"/>
      <c r="E95" s="36"/>
      <c r="G95" s="37"/>
      <c r="J95" s="37"/>
      <c r="K95" s="36"/>
      <c r="M95" s="37"/>
      <c r="P95" s="37"/>
      <c r="T95" s="36"/>
      <c r="V95" s="37"/>
      <c r="Z95" s="36">
        <v>0.57099999999999995</v>
      </c>
      <c r="AB95" s="37">
        <v>8.7200000000000003E-3</v>
      </c>
      <c r="AC95" s="36"/>
      <c r="AE95" s="37"/>
      <c r="AF95" s="36"/>
      <c r="AH95" s="37"/>
      <c r="AL95" s="36"/>
      <c r="AN95" s="37"/>
      <c r="AR95" s="36"/>
      <c r="AT95" s="37"/>
      <c r="AU95" s="36"/>
      <c r="AW95" s="37"/>
    </row>
    <row r="96" spans="1:49" s="35" customFormat="1" x14ac:dyDescent="0.2">
      <c r="A96" s="36" t="s">
        <v>198</v>
      </c>
      <c r="B96" s="36"/>
      <c r="D96" s="37"/>
      <c r="E96" s="36"/>
      <c r="G96" s="37"/>
      <c r="J96" s="37"/>
      <c r="K96" s="36"/>
      <c r="M96" s="37"/>
      <c r="P96" s="37"/>
      <c r="T96" s="36"/>
      <c r="V96" s="37"/>
      <c r="Z96" s="36">
        <v>0.122</v>
      </c>
      <c r="AB96" s="37">
        <v>3.5400000000000001E-2</v>
      </c>
      <c r="AC96" s="36"/>
      <c r="AE96" s="37"/>
      <c r="AF96" s="36"/>
      <c r="AH96" s="37"/>
      <c r="AL96" s="36"/>
      <c r="AN96" s="37"/>
      <c r="AR96" s="36"/>
      <c r="AT96" s="37"/>
      <c r="AU96" s="36"/>
      <c r="AW96" s="37"/>
    </row>
    <row r="97" spans="1:49" s="35" customFormat="1" x14ac:dyDescent="0.2">
      <c r="A97" s="36" t="s">
        <v>199</v>
      </c>
      <c r="B97" s="36"/>
      <c r="D97" s="37"/>
      <c r="E97" s="36"/>
      <c r="G97" s="37"/>
      <c r="J97" s="37"/>
      <c r="K97" s="36"/>
      <c r="M97" s="37"/>
      <c r="P97" s="37"/>
      <c r="T97" s="36"/>
      <c r="V97" s="37"/>
      <c r="Z97" s="36">
        <v>0.123</v>
      </c>
      <c r="AB97" s="37">
        <v>3.007E-2</v>
      </c>
      <c r="AC97" s="36"/>
      <c r="AE97" s="37"/>
      <c r="AF97" s="36"/>
      <c r="AH97" s="37"/>
      <c r="AL97" s="36"/>
      <c r="AN97" s="37"/>
      <c r="AR97" s="36"/>
      <c r="AT97" s="37"/>
      <c r="AU97" s="36"/>
      <c r="AW97" s="37"/>
    </row>
    <row r="98" spans="1:49" s="35" customFormat="1" x14ac:dyDescent="0.2">
      <c r="A98" s="36" t="s">
        <v>200</v>
      </c>
      <c r="B98" s="36"/>
      <c r="D98" s="37"/>
      <c r="E98" s="36"/>
      <c r="G98" s="37"/>
      <c r="J98" s="37"/>
      <c r="K98" s="36"/>
      <c r="M98" s="37"/>
      <c r="P98" s="37"/>
      <c r="T98" s="36"/>
      <c r="V98" s="37"/>
      <c r="Z98" s="36">
        <v>0.76600000000000001</v>
      </c>
      <c r="AB98" s="37">
        <v>1.4109999999999999E-2</v>
      </c>
      <c r="AC98" s="36"/>
      <c r="AE98" s="37"/>
      <c r="AF98" s="36"/>
      <c r="AH98" s="37"/>
      <c r="AL98" s="36"/>
      <c r="AN98" s="37"/>
      <c r="AR98" s="36"/>
      <c r="AT98" s="37"/>
      <c r="AU98" s="36"/>
      <c r="AW98" s="37"/>
    </row>
    <row r="99" spans="1:49" s="35" customFormat="1" x14ac:dyDescent="0.2">
      <c r="A99" s="36" t="s">
        <v>202</v>
      </c>
      <c r="B99" s="36"/>
      <c r="D99" s="37"/>
      <c r="E99" s="36"/>
      <c r="G99" s="37"/>
      <c r="J99" s="37"/>
      <c r="K99" s="36"/>
      <c r="M99" s="37"/>
      <c r="P99" s="37"/>
      <c r="T99" s="36"/>
      <c r="V99" s="37"/>
      <c r="Z99" s="36">
        <v>0.47299999999999998</v>
      </c>
      <c r="AB99" s="37">
        <v>2.1530000000000001E-2</v>
      </c>
      <c r="AC99" s="36"/>
      <c r="AE99" s="37"/>
      <c r="AF99" s="36"/>
      <c r="AH99" s="37"/>
      <c r="AL99" s="36"/>
      <c r="AN99" s="37"/>
      <c r="AR99" s="36"/>
      <c r="AT99" s="37"/>
      <c r="AU99" s="36"/>
      <c r="AW99" s="37"/>
    </row>
    <row r="100" spans="1:49" s="35" customFormat="1" x14ac:dyDescent="0.2">
      <c r="A100" s="36" t="s">
        <v>201</v>
      </c>
      <c r="B100" s="36"/>
      <c r="D100" s="37"/>
      <c r="E100" s="36"/>
      <c r="G100" s="37"/>
      <c r="J100" s="37"/>
      <c r="K100" s="36"/>
      <c r="M100" s="37"/>
      <c r="P100" s="37"/>
      <c r="T100" s="36"/>
      <c r="V100" s="37"/>
      <c r="Z100" s="36">
        <v>0.68</v>
      </c>
      <c r="AB100" s="37">
        <v>1.601E-2</v>
      </c>
      <c r="AC100" s="36"/>
      <c r="AE100" s="37"/>
      <c r="AF100" s="36"/>
      <c r="AH100" s="37"/>
      <c r="AL100" s="36"/>
      <c r="AN100" s="37"/>
      <c r="AR100" s="36"/>
      <c r="AT100" s="37"/>
      <c r="AU100" s="36"/>
      <c r="AW100" s="37"/>
    </row>
    <row r="101" spans="1:49" s="35" customFormat="1" x14ac:dyDescent="0.2">
      <c r="A101" s="36" t="s">
        <v>197</v>
      </c>
      <c r="B101" s="36"/>
      <c r="D101" s="37"/>
      <c r="E101" s="36"/>
      <c r="G101" s="37"/>
      <c r="J101" s="37"/>
      <c r="K101" s="36"/>
      <c r="M101" s="37"/>
      <c r="P101" s="37"/>
      <c r="T101" s="36"/>
      <c r="V101" s="37"/>
      <c r="Z101" s="36">
        <v>0.92</v>
      </c>
      <c r="AB101" s="37">
        <v>1.187E-2</v>
      </c>
      <c r="AC101" s="36"/>
      <c r="AE101" s="37"/>
      <c r="AF101" s="36"/>
      <c r="AH101" s="37"/>
      <c r="AL101" s="36"/>
      <c r="AN101" s="37"/>
      <c r="AR101" s="36"/>
      <c r="AT101" s="37"/>
      <c r="AU101" s="36"/>
      <c r="AW101" s="37"/>
    </row>
    <row r="102" spans="1:49" s="35" customFormat="1" x14ac:dyDescent="0.2">
      <c r="A102" s="36"/>
      <c r="B102" s="36"/>
      <c r="D102" s="37"/>
      <c r="E102" s="36"/>
      <c r="G102" s="37"/>
      <c r="J102" s="37"/>
      <c r="K102" s="36"/>
      <c r="M102" s="37"/>
      <c r="P102" s="37"/>
      <c r="T102" s="36"/>
      <c r="V102" s="37"/>
      <c r="Z102" s="36"/>
      <c r="AB102" s="37"/>
      <c r="AC102" s="36"/>
      <c r="AE102" s="37"/>
      <c r="AF102" s="36"/>
      <c r="AH102" s="37"/>
      <c r="AL102" s="36"/>
      <c r="AN102" s="37"/>
      <c r="AR102" s="36"/>
      <c r="AT102" s="37"/>
      <c r="AU102" s="36"/>
      <c r="AW102" s="37"/>
    </row>
    <row r="103" spans="1:49" s="35" customFormat="1" x14ac:dyDescent="0.2">
      <c r="A103" s="36" t="s">
        <v>175</v>
      </c>
      <c r="B103" s="36"/>
      <c r="D103" s="37"/>
      <c r="E103" s="36"/>
      <c r="G103" s="37"/>
      <c r="J103" s="37"/>
      <c r="K103" s="36"/>
      <c r="M103" s="37"/>
      <c r="P103" s="37"/>
      <c r="T103" s="36"/>
      <c r="V103" s="37"/>
      <c r="Z103" s="36">
        <v>4.0000000000000001E-3</v>
      </c>
      <c r="AA103" s="35" t="s">
        <v>51</v>
      </c>
      <c r="AB103" s="37">
        <v>6.5729999999999997E-2</v>
      </c>
      <c r="AC103" s="36"/>
      <c r="AE103" s="37"/>
      <c r="AF103" s="36"/>
      <c r="AH103" s="37"/>
      <c r="AL103" s="36"/>
      <c r="AN103" s="37"/>
      <c r="AR103" s="36"/>
      <c r="AT103" s="37"/>
      <c r="AU103" s="36"/>
      <c r="AW103" s="37"/>
    </row>
    <row r="104" spans="1:49" s="35" customFormat="1" x14ac:dyDescent="0.2">
      <c r="A104" s="36" t="s">
        <v>203</v>
      </c>
      <c r="B104" s="36"/>
      <c r="D104" s="37"/>
      <c r="E104" s="36"/>
      <c r="G104" s="37"/>
      <c r="J104" s="37"/>
      <c r="K104" s="36"/>
      <c r="M104" s="37"/>
      <c r="P104" s="37"/>
      <c r="T104" s="36"/>
      <c r="V104" s="37"/>
      <c r="Z104" s="36">
        <v>2.4E-2</v>
      </c>
      <c r="AA104" s="35" t="s">
        <v>7</v>
      </c>
      <c r="AB104" s="37">
        <v>0.15909000000000001</v>
      </c>
      <c r="AC104" s="36"/>
      <c r="AE104" s="37"/>
      <c r="AF104" s="36"/>
      <c r="AH104" s="37"/>
      <c r="AL104" s="36"/>
      <c r="AN104" s="37"/>
      <c r="AR104" s="36"/>
      <c r="AT104" s="37"/>
      <c r="AU104" s="36"/>
      <c r="AW104" s="37"/>
    </row>
    <row r="105" spans="1:49" s="35" customFormat="1" x14ac:dyDescent="0.2">
      <c r="A105" s="36" t="s">
        <v>206</v>
      </c>
      <c r="B105" s="36"/>
      <c r="D105" s="37"/>
      <c r="E105" s="36"/>
      <c r="G105" s="37"/>
      <c r="J105" s="37"/>
      <c r="K105" s="36"/>
      <c r="M105" s="37"/>
      <c r="P105" s="37"/>
      <c r="T105" s="36"/>
      <c r="V105" s="37"/>
      <c r="Z105" s="36">
        <v>2.5000000000000001E-2</v>
      </c>
      <c r="AA105" s="35" t="s">
        <v>7</v>
      </c>
      <c r="AB105" s="37">
        <v>0.15634000000000001</v>
      </c>
      <c r="AC105" s="36"/>
      <c r="AE105" s="37"/>
      <c r="AF105" s="36"/>
      <c r="AH105" s="37"/>
      <c r="AL105" s="36"/>
      <c r="AN105" s="37"/>
      <c r="AR105" s="36"/>
      <c r="AT105" s="37"/>
      <c r="AU105" s="36"/>
      <c r="AW105" s="37"/>
    </row>
    <row r="106" spans="1:49" s="35" customFormat="1" x14ac:dyDescent="0.2">
      <c r="A106" s="36" t="s">
        <v>205</v>
      </c>
      <c r="B106" s="36"/>
      <c r="D106" s="37"/>
      <c r="E106" s="36"/>
      <c r="G106" s="37"/>
      <c r="J106" s="37"/>
      <c r="K106" s="36"/>
      <c r="M106" s="37"/>
      <c r="P106" s="37"/>
      <c r="T106" s="36"/>
      <c r="V106" s="37"/>
      <c r="Z106" s="36">
        <v>1.0999999999999999E-2</v>
      </c>
      <c r="AA106" s="35" t="s">
        <v>7</v>
      </c>
      <c r="AB106" s="37">
        <v>0.14199000000000001</v>
      </c>
      <c r="AC106" s="36"/>
      <c r="AE106" s="37"/>
      <c r="AF106" s="36"/>
      <c r="AH106" s="37"/>
      <c r="AL106" s="36"/>
      <c r="AN106" s="37"/>
      <c r="AR106" s="36"/>
      <c r="AT106" s="37"/>
      <c r="AU106" s="36"/>
      <c r="AW106" s="37"/>
    </row>
    <row r="107" spans="1:49" s="35" customFormat="1" x14ac:dyDescent="0.2">
      <c r="A107" s="36" t="s">
        <v>204</v>
      </c>
      <c r="B107" s="36"/>
      <c r="D107" s="37"/>
      <c r="E107" s="36"/>
      <c r="G107" s="37"/>
      <c r="J107" s="37"/>
      <c r="K107" s="36"/>
      <c r="M107" s="37"/>
      <c r="P107" s="37"/>
      <c r="T107" s="36"/>
      <c r="V107" s="37"/>
      <c r="Z107" s="36">
        <v>1E-3</v>
      </c>
      <c r="AA107" s="35" t="s">
        <v>11</v>
      </c>
      <c r="AB107" s="37">
        <v>0.30852000000000002</v>
      </c>
      <c r="AC107" s="36"/>
      <c r="AE107" s="37"/>
      <c r="AF107" s="36"/>
      <c r="AH107" s="37"/>
      <c r="AL107" s="36"/>
      <c r="AN107" s="37"/>
      <c r="AR107" s="36"/>
      <c r="AT107" s="37"/>
      <c r="AU107" s="36"/>
      <c r="AW107" s="37"/>
    </row>
    <row r="108" spans="1:49" s="35" customFormat="1" x14ac:dyDescent="0.2">
      <c r="A108" s="36" t="s">
        <v>207</v>
      </c>
      <c r="B108" s="36"/>
      <c r="D108" s="37"/>
      <c r="E108" s="36"/>
      <c r="G108" s="37"/>
      <c r="J108" s="37"/>
      <c r="K108" s="36"/>
      <c r="M108" s="37"/>
      <c r="P108" s="37"/>
      <c r="T108" s="36"/>
      <c r="V108" s="37"/>
      <c r="Z108" s="36">
        <v>1.4E-2</v>
      </c>
      <c r="AA108" s="35" t="s">
        <v>7</v>
      </c>
      <c r="AB108" s="37">
        <v>0.14710999999999999</v>
      </c>
      <c r="AC108" s="36"/>
      <c r="AE108" s="37"/>
      <c r="AF108" s="36"/>
      <c r="AH108" s="37"/>
      <c r="AL108" s="36"/>
      <c r="AN108" s="37"/>
      <c r="AR108" s="36"/>
      <c r="AT108" s="37"/>
      <c r="AU108" s="36"/>
      <c r="AW108" s="37"/>
    </row>
    <row r="109" spans="1:49" s="35" customFormat="1" x14ac:dyDescent="0.2">
      <c r="A109" s="36" t="s">
        <v>208</v>
      </c>
      <c r="B109" s="36"/>
      <c r="D109" s="37"/>
      <c r="E109" s="36"/>
      <c r="G109" s="37"/>
      <c r="J109" s="37"/>
      <c r="K109" s="36"/>
      <c r="M109" s="37"/>
      <c r="P109" s="37"/>
      <c r="T109" s="36"/>
      <c r="V109" s="37"/>
      <c r="Z109" s="36">
        <v>6.0000000000000001E-3</v>
      </c>
      <c r="AA109" s="35" t="s">
        <v>51</v>
      </c>
      <c r="AB109" s="37">
        <v>0.24421999999999999</v>
      </c>
      <c r="AC109" s="36"/>
      <c r="AE109" s="37"/>
      <c r="AF109" s="36"/>
      <c r="AH109" s="37"/>
      <c r="AL109" s="36"/>
      <c r="AN109" s="37"/>
      <c r="AR109" s="36"/>
      <c r="AT109" s="37"/>
      <c r="AU109" s="36"/>
      <c r="AW109" s="37"/>
    </row>
    <row r="110" spans="1:49" s="35" customFormat="1" x14ac:dyDescent="0.2">
      <c r="A110" s="36" t="s">
        <v>209</v>
      </c>
      <c r="B110" s="36"/>
      <c r="D110" s="37"/>
      <c r="E110" s="36"/>
      <c r="G110" s="37"/>
      <c r="J110" s="37"/>
      <c r="K110" s="36"/>
      <c r="M110" s="37"/>
      <c r="P110" s="37"/>
      <c r="T110" s="36"/>
      <c r="V110" s="37"/>
      <c r="Z110" s="36">
        <v>0.02</v>
      </c>
      <c r="AA110" s="35" t="s">
        <v>7</v>
      </c>
      <c r="AB110" s="37">
        <v>0.14652999999999999</v>
      </c>
      <c r="AC110" s="36"/>
      <c r="AE110" s="37"/>
      <c r="AF110" s="36"/>
      <c r="AH110" s="37"/>
      <c r="AL110" s="36"/>
      <c r="AN110" s="37"/>
      <c r="AR110" s="36"/>
      <c r="AT110" s="37"/>
      <c r="AU110" s="36"/>
      <c r="AW110" s="37"/>
    </row>
    <row r="111" spans="1:49" s="35" customFormat="1" x14ac:dyDescent="0.2">
      <c r="A111" s="36" t="s">
        <v>210</v>
      </c>
      <c r="B111" s="36"/>
      <c r="D111" s="37"/>
      <c r="E111" s="36"/>
      <c r="G111" s="37"/>
      <c r="J111" s="37"/>
      <c r="K111" s="36"/>
      <c r="M111" s="37"/>
      <c r="P111" s="37"/>
      <c r="T111" s="36"/>
      <c r="V111" s="37"/>
      <c r="Z111" s="36">
        <v>0.05</v>
      </c>
      <c r="AA111" s="35" t="s">
        <v>7</v>
      </c>
      <c r="AB111" s="37">
        <v>0.13729</v>
      </c>
      <c r="AC111" s="36"/>
      <c r="AE111" s="37"/>
      <c r="AF111" s="36"/>
      <c r="AH111" s="37"/>
      <c r="AL111" s="36"/>
      <c r="AN111" s="37"/>
      <c r="AR111" s="36"/>
      <c r="AT111" s="37"/>
      <c r="AU111" s="36"/>
      <c r="AW111" s="37"/>
    </row>
    <row r="112" spans="1:49" s="35" customFormat="1" x14ac:dyDescent="0.2">
      <c r="A112" s="36" t="s">
        <v>211</v>
      </c>
      <c r="B112" s="36"/>
      <c r="D112" s="37"/>
      <c r="E112" s="36"/>
      <c r="G112" s="37"/>
      <c r="J112" s="37"/>
      <c r="K112" s="36"/>
      <c r="M112" s="37"/>
      <c r="P112" s="37"/>
      <c r="T112" s="36"/>
      <c r="V112" s="37"/>
      <c r="Z112" s="36">
        <v>3.5999999999999997E-2</v>
      </c>
      <c r="AA112" s="35" t="s">
        <v>7</v>
      </c>
      <c r="AB112" s="37">
        <v>0.13500999999999999</v>
      </c>
      <c r="AC112" s="36"/>
      <c r="AE112" s="37"/>
      <c r="AF112" s="36"/>
      <c r="AH112" s="37"/>
      <c r="AL112" s="36"/>
      <c r="AN112" s="37"/>
      <c r="AR112" s="36"/>
      <c r="AT112" s="37"/>
      <c r="AU112" s="36"/>
      <c r="AW112" s="37"/>
    </row>
    <row r="113" spans="1:49" s="35" customFormat="1" x14ac:dyDescent="0.2">
      <c r="A113" s="36" t="s">
        <v>212</v>
      </c>
      <c r="B113" s="36"/>
      <c r="D113" s="37"/>
      <c r="E113" s="36"/>
      <c r="G113" s="37"/>
      <c r="J113" s="37"/>
      <c r="K113" s="36"/>
      <c r="M113" s="37"/>
      <c r="P113" s="37"/>
      <c r="T113" s="36"/>
      <c r="V113" s="37"/>
      <c r="Z113" s="36">
        <v>2.4E-2</v>
      </c>
      <c r="AA113" s="35" t="s">
        <v>7</v>
      </c>
      <c r="AB113" s="37">
        <v>0.15154000000000001</v>
      </c>
      <c r="AC113" s="36"/>
      <c r="AE113" s="37"/>
      <c r="AF113" s="36"/>
      <c r="AH113" s="37"/>
      <c r="AL113" s="36"/>
      <c r="AN113" s="37"/>
      <c r="AR113" s="36"/>
      <c r="AT113" s="37"/>
      <c r="AU113" s="36"/>
      <c r="AW113" s="37"/>
    </row>
    <row r="114" spans="1:49" s="35" customFormat="1" x14ac:dyDescent="0.2">
      <c r="A114" s="36" t="s">
        <v>213</v>
      </c>
      <c r="B114" s="36"/>
      <c r="D114" s="37"/>
      <c r="E114" s="36"/>
      <c r="G114" s="37"/>
      <c r="J114" s="37"/>
      <c r="K114" s="36"/>
      <c r="M114" s="37"/>
      <c r="P114" s="37"/>
      <c r="T114" s="36"/>
      <c r="V114" s="37"/>
      <c r="Z114" s="36">
        <v>5.0000000000000001E-3</v>
      </c>
      <c r="AA114" s="35" t="s">
        <v>51</v>
      </c>
      <c r="AB114" s="37">
        <v>0.22183</v>
      </c>
      <c r="AC114" s="36"/>
      <c r="AE114" s="37"/>
      <c r="AF114" s="36"/>
      <c r="AH114" s="37"/>
      <c r="AL114" s="36"/>
      <c r="AN114" s="37"/>
      <c r="AR114" s="36"/>
      <c r="AT114" s="37"/>
      <c r="AU114" s="36"/>
      <c r="AW114" s="37"/>
    </row>
    <row r="115" spans="1:49" s="35" customFormat="1" x14ac:dyDescent="0.2">
      <c r="A115" s="36" t="s">
        <v>217</v>
      </c>
      <c r="B115" s="36"/>
      <c r="D115" s="37"/>
      <c r="E115" s="36"/>
      <c r="G115" s="37"/>
      <c r="J115" s="37"/>
      <c r="K115" s="36"/>
      <c r="M115" s="37"/>
      <c r="P115" s="37"/>
      <c r="T115" s="36"/>
      <c r="V115" s="37"/>
      <c r="Z115" s="36">
        <v>2E-3</v>
      </c>
      <c r="AA115" s="35" t="s">
        <v>51</v>
      </c>
      <c r="AB115" s="37">
        <v>0.29350999999999999</v>
      </c>
      <c r="AC115" s="36"/>
      <c r="AE115" s="37"/>
      <c r="AF115" s="36"/>
      <c r="AH115" s="37"/>
      <c r="AL115" s="36"/>
      <c r="AN115" s="37"/>
      <c r="AR115" s="36"/>
      <c r="AT115" s="37"/>
      <c r="AU115" s="36"/>
      <c r="AW115" s="37"/>
    </row>
    <row r="116" spans="1:49" s="35" customFormat="1" x14ac:dyDescent="0.2">
      <c r="A116" s="36" t="s">
        <v>218</v>
      </c>
      <c r="B116" s="36"/>
      <c r="D116" s="37"/>
      <c r="E116" s="36"/>
      <c r="G116" s="37"/>
      <c r="J116" s="37"/>
      <c r="K116" s="36"/>
      <c r="M116" s="37"/>
      <c r="P116" s="37"/>
      <c r="T116" s="36"/>
      <c r="V116" s="37"/>
      <c r="Z116" s="36">
        <v>5.0000000000000001E-3</v>
      </c>
      <c r="AA116" s="35" t="s">
        <v>51</v>
      </c>
      <c r="AB116" s="37">
        <v>0.21937999999999999</v>
      </c>
      <c r="AC116" s="36"/>
      <c r="AE116" s="37"/>
      <c r="AF116" s="36"/>
      <c r="AH116" s="37"/>
      <c r="AL116" s="36"/>
      <c r="AN116" s="37"/>
      <c r="AR116" s="36"/>
      <c r="AT116" s="37"/>
      <c r="AU116" s="36"/>
      <c r="AW116" s="37"/>
    </row>
    <row r="117" spans="1:49" s="35" customFormat="1" x14ac:dyDescent="0.2">
      <c r="A117" s="36" t="s">
        <v>219</v>
      </c>
      <c r="B117" s="36"/>
      <c r="D117" s="37"/>
      <c r="E117" s="36"/>
      <c r="G117" s="37"/>
      <c r="J117" s="37"/>
      <c r="K117" s="36"/>
      <c r="M117" s="37"/>
      <c r="P117" s="37"/>
      <c r="T117" s="36"/>
      <c r="V117" s="37"/>
      <c r="Z117" s="36">
        <v>2.5999999999999999E-2</v>
      </c>
      <c r="AA117" s="35" t="s">
        <v>7</v>
      </c>
      <c r="AB117" s="37">
        <v>0.16558</v>
      </c>
      <c r="AC117" s="36"/>
      <c r="AE117" s="37"/>
      <c r="AF117" s="36"/>
      <c r="AH117" s="37"/>
      <c r="AL117" s="36"/>
      <c r="AN117" s="37"/>
      <c r="AR117" s="36"/>
      <c r="AT117" s="37"/>
      <c r="AU117" s="36"/>
      <c r="AW117" s="37"/>
    </row>
    <row r="118" spans="1:49" s="35" customFormat="1" x14ac:dyDescent="0.2">
      <c r="A118" s="36" t="s">
        <v>214</v>
      </c>
      <c r="B118" s="36"/>
      <c r="D118" s="37"/>
      <c r="E118" s="36"/>
      <c r="G118" s="37"/>
      <c r="J118" s="37"/>
      <c r="K118" s="36"/>
      <c r="M118" s="37"/>
      <c r="P118" s="37"/>
      <c r="T118" s="36"/>
      <c r="V118" s="37"/>
      <c r="Z118" s="36">
        <v>2.7E-2</v>
      </c>
      <c r="AA118" s="35" t="s">
        <v>7</v>
      </c>
      <c r="AB118" s="37">
        <v>0.13719999999999999</v>
      </c>
      <c r="AC118" s="36"/>
      <c r="AE118" s="37"/>
      <c r="AF118" s="36"/>
      <c r="AH118" s="37"/>
      <c r="AL118" s="36"/>
      <c r="AN118" s="37"/>
      <c r="AR118" s="36"/>
      <c r="AT118" s="37"/>
      <c r="AU118" s="36"/>
      <c r="AW118" s="37"/>
    </row>
    <row r="119" spans="1:49" s="35" customFormat="1" x14ac:dyDescent="0.2">
      <c r="A119" s="36" t="s">
        <v>215</v>
      </c>
      <c r="B119" s="36"/>
      <c r="D119" s="37"/>
      <c r="E119" s="36"/>
      <c r="G119" s="37"/>
      <c r="J119" s="37"/>
      <c r="K119" s="36"/>
      <c r="M119" s="37"/>
      <c r="P119" s="37"/>
      <c r="T119" s="36"/>
      <c r="V119" s="37"/>
      <c r="Z119" s="36">
        <v>0.49</v>
      </c>
      <c r="AB119" s="37">
        <v>8.1710000000000005E-2</v>
      </c>
      <c r="AC119" s="36"/>
      <c r="AE119" s="37"/>
      <c r="AF119" s="36"/>
      <c r="AH119" s="37"/>
      <c r="AL119" s="36"/>
      <c r="AN119" s="37"/>
      <c r="AR119" s="36"/>
      <c r="AT119" s="37"/>
      <c r="AU119" s="36"/>
      <c r="AW119" s="37"/>
    </row>
    <row r="120" spans="1:49" s="35" customFormat="1" x14ac:dyDescent="0.2">
      <c r="A120" s="36" t="s">
        <v>216</v>
      </c>
      <c r="B120" s="36"/>
      <c r="D120" s="37"/>
      <c r="E120" s="36"/>
      <c r="G120" s="37"/>
      <c r="J120" s="37"/>
      <c r="K120" s="36"/>
      <c r="M120" s="37"/>
      <c r="P120" s="37"/>
      <c r="T120" s="36"/>
      <c r="V120" s="37"/>
      <c r="Z120" s="36">
        <v>0.315</v>
      </c>
      <c r="AB120" s="37">
        <v>7.195E-2</v>
      </c>
      <c r="AC120" s="36"/>
      <c r="AE120" s="37"/>
      <c r="AF120" s="36"/>
      <c r="AH120" s="37"/>
      <c r="AL120" s="36"/>
      <c r="AN120" s="37"/>
      <c r="AR120" s="36"/>
      <c r="AT120" s="37"/>
      <c r="AU120" s="36"/>
      <c r="AW120" s="37"/>
    </row>
    <row r="121" spans="1:49" s="35" customFormat="1" x14ac:dyDescent="0.2">
      <c r="A121" s="36"/>
      <c r="B121" s="36"/>
      <c r="D121" s="37"/>
      <c r="E121" s="36"/>
      <c r="G121" s="37"/>
      <c r="J121" s="37"/>
      <c r="K121" s="36"/>
      <c r="M121" s="37"/>
      <c r="P121" s="37"/>
      <c r="T121" s="36"/>
      <c r="V121" s="37"/>
      <c r="Z121" s="36"/>
      <c r="AB121" s="37"/>
      <c r="AC121" s="36"/>
      <c r="AE121" s="37"/>
      <c r="AF121" s="36"/>
      <c r="AH121" s="37"/>
      <c r="AL121" s="36"/>
      <c r="AN121" s="37"/>
      <c r="AR121" s="36"/>
      <c r="AT121" s="37"/>
      <c r="AU121" s="36"/>
      <c r="AW121" s="37"/>
    </row>
    <row r="122" spans="1:49" s="35" customFormat="1" x14ac:dyDescent="0.2">
      <c r="A122" s="36" t="s">
        <v>176</v>
      </c>
      <c r="B122" s="36"/>
      <c r="D122" s="37"/>
      <c r="E122" s="36"/>
      <c r="G122" s="37"/>
      <c r="J122" s="37"/>
      <c r="K122" s="36"/>
      <c r="M122" s="37"/>
      <c r="P122" s="37"/>
      <c r="T122" s="36"/>
      <c r="V122" s="37"/>
      <c r="Z122" s="36">
        <v>0.247</v>
      </c>
      <c r="AB122" s="37">
        <v>0.11149000000000001</v>
      </c>
      <c r="AC122" s="36"/>
      <c r="AE122" s="37"/>
      <c r="AF122" s="36"/>
      <c r="AH122" s="37"/>
      <c r="AL122" s="36"/>
      <c r="AN122" s="37"/>
      <c r="AR122" s="36"/>
      <c r="AT122" s="37"/>
      <c r="AU122" s="36"/>
      <c r="AW122" s="37"/>
    </row>
    <row r="123" spans="1:49" s="35" customFormat="1" x14ac:dyDescent="0.2">
      <c r="A123" s="36" t="s">
        <v>220</v>
      </c>
      <c r="B123" s="36"/>
      <c r="D123" s="37"/>
      <c r="E123" s="36"/>
      <c r="G123" s="37"/>
      <c r="J123" s="37"/>
      <c r="K123" s="36"/>
      <c r="M123" s="37"/>
      <c r="P123" s="37"/>
      <c r="T123" s="36"/>
      <c r="V123" s="37"/>
      <c r="Z123" s="36">
        <v>1E-3</v>
      </c>
      <c r="AA123" s="35" t="s">
        <v>11</v>
      </c>
      <c r="AB123" s="37">
        <v>0.38667000000000001</v>
      </c>
      <c r="AC123" s="36"/>
      <c r="AE123" s="37"/>
      <c r="AF123" s="36"/>
      <c r="AH123" s="37"/>
      <c r="AL123" s="36"/>
      <c r="AN123" s="37"/>
      <c r="AR123" s="36"/>
      <c r="AT123" s="37"/>
      <c r="AU123" s="36"/>
      <c r="AW123" s="37"/>
    </row>
    <row r="124" spans="1:49" s="35" customFormat="1" x14ac:dyDescent="0.2">
      <c r="A124" s="36" t="s">
        <v>221</v>
      </c>
      <c r="B124" s="36"/>
      <c r="D124" s="37"/>
      <c r="E124" s="36"/>
      <c r="G124" s="37"/>
      <c r="J124" s="37"/>
      <c r="K124" s="36"/>
      <c r="M124" s="37"/>
      <c r="P124" s="37"/>
      <c r="T124" s="36"/>
      <c r="V124" s="37"/>
      <c r="Z124" s="36">
        <v>0.32100000000000001</v>
      </c>
      <c r="AB124" s="37">
        <v>0.51205000000000001</v>
      </c>
      <c r="AC124" s="36"/>
      <c r="AE124" s="37"/>
      <c r="AF124" s="36"/>
      <c r="AH124" s="37"/>
      <c r="AL124" s="36"/>
      <c r="AN124" s="37"/>
      <c r="AR124" s="36"/>
      <c r="AT124" s="37"/>
      <c r="AU124" s="36"/>
      <c r="AW124" s="37"/>
    </row>
    <row r="125" spans="1:49" s="35" customFormat="1" x14ac:dyDescent="0.2">
      <c r="A125" s="36" t="s">
        <v>222</v>
      </c>
      <c r="B125" s="36"/>
      <c r="D125" s="37"/>
      <c r="E125" s="36"/>
      <c r="G125" s="37"/>
      <c r="J125" s="37"/>
      <c r="K125" s="36"/>
      <c r="M125" s="37"/>
      <c r="P125" s="37"/>
      <c r="T125" s="36"/>
      <c r="V125" s="37"/>
      <c r="Z125" s="36">
        <v>1E-3</v>
      </c>
      <c r="AA125" s="35" t="s">
        <v>11</v>
      </c>
      <c r="AB125" s="37">
        <v>1</v>
      </c>
      <c r="AC125" s="36"/>
      <c r="AE125" s="37"/>
      <c r="AF125" s="36"/>
      <c r="AH125" s="37"/>
      <c r="AL125" s="36"/>
      <c r="AN125" s="37"/>
      <c r="AR125" s="36"/>
      <c r="AT125" s="37"/>
      <c r="AU125" s="36"/>
      <c r="AW125" s="37"/>
    </row>
    <row r="126" spans="1:49" s="35" customFormat="1" x14ac:dyDescent="0.2">
      <c r="A126" s="36" t="s">
        <v>223</v>
      </c>
      <c r="B126" s="36"/>
      <c r="D126" s="37"/>
      <c r="E126" s="36"/>
      <c r="G126" s="37"/>
      <c r="J126" s="37"/>
      <c r="K126" s="36"/>
      <c r="M126" s="37"/>
      <c r="P126" s="37"/>
      <c r="T126" s="36"/>
      <c r="V126" s="37"/>
      <c r="Z126" s="36">
        <v>0.79100000000000004</v>
      </c>
      <c r="AB126" s="37">
        <v>0.15124000000000001</v>
      </c>
      <c r="AC126" s="36"/>
      <c r="AE126" s="37"/>
      <c r="AF126" s="36"/>
      <c r="AH126" s="37"/>
      <c r="AL126" s="36"/>
      <c r="AN126" s="37"/>
      <c r="AR126" s="36"/>
      <c r="AT126" s="37"/>
      <c r="AU126" s="36"/>
      <c r="AW126" s="37"/>
    </row>
    <row r="127" spans="1:49" s="35" customFormat="1" x14ac:dyDescent="0.2">
      <c r="A127" s="36" t="s">
        <v>224</v>
      </c>
      <c r="B127" s="36"/>
      <c r="D127" s="37"/>
      <c r="E127" s="36"/>
      <c r="G127" s="37"/>
      <c r="J127" s="37"/>
      <c r="K127" s="36"/>
      <c r="M127" s="37"/>
      <c r="P127" s="37"/>
      <c r="T127" s="36"/>
      <c r="V127" s="37"/>
      <c r="Z127" s="36">
        <v>1E-3</v>
      </c>
      <c r="AA127" s="35" t="s">
        <v>11</v>
      </c>
      <c r="AB127" s="37">
        <v>1</v>
      </c>
      <c r="AC127" s="36"/>
      <c r="AE127" s="37"/>
      <c r="AF127" s="36"/>
      <c r="AH127" s="37"/>
      <c r="AL127" s="36"/>
      <c r="AN127" s="37"/>
      <c r="AR127" s="36"/>
      <c r="AT127" s="37"/>
      <c r="AU127" s="36"/>
      <c r="AW127" s="37"/>
    </row>
    <row r="128" spans="1:49" s="35" customFormat="1" x14ac:dyDescent="0.2">
      <c r="A128" s="36" t="s">
        <v>225</v>
      </c>
      <c r="B128" s="36"/>
      <c r="D128" s="37"/>
      <c r="E128" s="36"/>
      <c r="G128" s="37"/>
      <c r="J128" s="37"/>
      <c r="K128" s="36"/>
      <c r="M128" s="37"/>
      <c r="P128" s="37"/>
      <c r="T128" s="36"/>
      <c r="V128" s="37"/>
      <c r="Z128" s="36">
        <v>1E-3</v>
      </c>
      <c r="AA128" s="35" t="s">
        <v>11</v>
      </c>
      <c r="AB128" s="37">
        <v>0.61034999999999995</v>
      </c>
      <c r="AC128" s="36"/>
      <c r="AE128" s="37"/>
      <c r="AF128" s="36"/>
      <c r="AH128" s="37"/>
      <c r="AL128" s="36"/>
      <c r="AN128" s="37"/>
      <c r="AR128" s="36"/>
      <c r="AT128" s="37"/>
      <c r="AU128" s="36"/>
      <c r="AW128" s="37"/>
    </row>
    <row r="129" spans="1:49" s="35" customFormat="1" x14ac:dyDescent="0.2">
      <c r="A129" s="36" t="s">
        <v>226</v>
      </c>
      <c r="B129" s="36"/>
      <c r="D129" s="37"/>
      <c r="E129" s="36"/>
      <c r="G129" s="37"/>
      <c r="J129" s="37"/>
      <c r="K129" s="36"/>
      <c r="M129" s="37"/>
      <c r="P129" s="37"/>
      <c r="T129" s="36"/>
      <c r="V129" s="37"/>
      <c r="Z129" s="36">
        <v>0.23499999999999999</v>
      </c>
      <c r="AB129" s="37">
        <v>0.22906000000000001</v>
      </c>
      <c r="AC129" s="36"/>
      <c r="AE129" s="37"/>
      <c r="AF129" s="36"/>
      <c r="AH129" s="37"/>
      <c r="AL129" s="36"/>
      <c r="AN129" s="37"/>
      <c r="AR129" s="36"/>
      <c r="AT129" s="37"/>
      <c r="AU129" s="36"/>
      <c r="AW129" s="37"/>
    </row>
    <row r="131" spans="1:49" s="35" customFormat="1" x14ac:dyDescent="0.2">
      <c r="A131" s="36" t="s">
        <v>177</v>
      </c>
      <c r="B131" s="36"/>
      <c r="D131" s="37"/>
      <c r="E131" s="36"/>
      <c r="G131" s="37"/>
      <c r="J131" s="37"/>
      <c r="K131" s="36"/>
      <c r="M131" s="37"/>
      <c r="P131" s="37"/>
      <c r="T131" s="36"/>
      <c r="V131" s="37"/>
      <c r="Z131" s="36">
        <v>9.1999999999999998E-2</v>
      </c>
      <c r="AA131" s="35" t="s">
        <v>8</v>
      </c>
      <c r="AB131" s="37">
        <v>3.2059999999999998E-2</v>
      </c>
      <c r="AC131" s="36"/>
      <c r="AE131" s="37"/>
      <c r="AF131" s="36"/>
      <c r="AH131" s="37"/>
      <c r="AL131" s="36"/>
      <c r="AN131" s="37"/>
      <c r="AR131" s="36"/>
      <c r="AT131" s="37"/>
      <c r="AU131" s="36"/>
      <c r="AW131" s="37"/>
    </row>
    <row r="132" spans="1:49" s="35" customFormat="1" x14ac:dyDescent="0.2">
      <c r="A132" s="36" t="s">
        <v>178</v>
      </c>
      <c r="B132" s="36"/>
      <c r="D132" s="37"/>
      <c r="E132" s="36"/>
      <c r="G132" s="37"/>
      <c r="J132" s="37"/>
      <c r="K132" s="36"/>
      <c r="M132" s="37"/>
      <c r="P132" s="37"/>
      <c r="T132" s="36"/>
      <c r="V132" s="37"/>
      <c r="Z132" s="36">
        <v>0.26</v>
      </c>
      <c r="AB132" s="37">
        <v>1.9709999999999998E-2</v>
      </c>
      <c r="AC132" s="36"/>
      <c r="AE132" s="37"/>
      <c r="AF132" s="36"/>
      <c r="AH132" s="37"/>
      <c r="AL132" s="36"/>
      <c r="AN132" s="37"/>
      <c r="AR132" s="36"/>
      <c r="AT132" s="37"/>
      <c r="AU132" s="36"/>
      <c r="AW132" s="37"/>
    </row>
    <row r="133" spans="1:49" s="35" customFormat="1" x14ac:dyDescent="0.2">
      <c r="A133" s="36" t="s">
        <v>179</v>
      </c>
      <c r="B133" s="36"/>
      <c r="D133" s="37"/>
      <c r="E133" s="36"/>
      <c r="G133" s="37"/>
      <c r="J133" s="37"/>
      <c r="K133" s="36"/>
      <c r="M133" s="37"/>
      <c r="P133" s="37"/>
      <c r="T133" s="36"/>
      <c r="V133" s="37"/>
      <c r="Z133" s="36">
        <v>0.191</v>
      </c>
      <c r="AB133" s="37">
        <v>3.7870000000000001E-2</v>
      </c>
      <c r="AC133" s="36"/>
      <c r="AE133" s="37"/>
      <c r="AF133" s="36"/>
      <c r="AH133" s="37"/>
      <c r="AL133" s="36"/>
      <c r="AN133" s="37"/>
      <c r="AR133" s="36"/>
      <c r="AT133" s="37"/>
      <c r="AU133" s="36"/>
      <c r="AW133" s="37"/>
    </row>
    <row r="134" spans="1:49" s="35" customFormat="1" x14ac:dyDescent="0.2">
      <c r="A134" s="36" t="s">
        <v>180</v>
      </c>
      <c r="B134" s="36"/>
      <c r="D134" s="37"/>
      <c r="E134" s="36"/>
      <c r="G134" s="37"/>
      <c r="J134" s="37"/>
      <c r="K134" s="36"/>
      <c r="M134" s="37"/>
      <c r="P134" s="37"/>
      <c r="T134" s="36"/>
      <c r="V134" s="37"/>
      <c r="Z134" s="36">
        <v>0.2</v>
      </c>
      <c r="AB134" s="37">
        <v>0.14147000000000001</v>
      </c>
      <c r="AC134" s="36"/>
      <c r="AE134" s="37"/>
      <c r="AF134" s="36"/>
      <c r="AH134" s="37"/>
      <c r="AL134" s="36"/>
      <c r="AN134" s="37"/>
      <c r="AR134" s="36"/>
      <c r="AT134" s="37"/>
      <c r="AU134" s="36"/>
      <c r="AW134" s="37"/>
    </row>
    <row r="135" spans="1:49" s="35" customFormat="1" x14ac:dyDescent="0.2">
      <c r="A135" s="36" t="s">
        <v>182</v>
      </c>
      <c r="B135" s="36"/>
      <c r="D135" s="37"/>
      <c r="E135" s="36"/>
      <c r="G135" s="37"/>
      <c r="J135" s="37"/>
      <c r="K135" s="36"/>
      <c r="M135" s="37"/>
      <c r="P135" s="37"/>
      <c r="T135" s="36"/>
      <c r="V135" s="37"/>
      <c r="Z135" s="36">
        <v>2E-3</v>
      </c>
      <c r="AA135" s="35" t="s">
        <v>51</v>
      </c>
      <c r="AB135" s="37">
        <v>7.5389999999999999E-2</v>
      </c>
      <c r="AC135" s="36"/>
      <c r="AE135" s="37"/>
      <c r="AF135" s="36"/>
      <c r="AH135" s="37"/>
      <c r="AL135" s="36"/>
      <c r="AN135" s="37"/>
      <c r="AR135" s="36"/>
      <c r="AT135" s="37"/>
      <c r="AU135" s="36"/>
      <c r="AW135" s="37"/>
    </row>
    <row r="136" spans="1:49" s="35" customFormat="1" x14ac:dyDescent="0.2">
      <c r="A136" s="36" t="s">
        <v>183</v>
      </c>
      <c r="B136" s="36"/>
      <c r="D136" s="37"/>
      <c r="E136" s="36"/>
      <c r="G136" s="37"/>
      <c r="J136" s="37"/>
      <c r="K136" s="36"/>
      <c r="M136" s="37"/>
      <c r="P136" s="37"/>
      <c r="T136" s="36"/>
      <c r="V136" s="37"/>
      <c r="Z136" s="36">
        <v>0.747</v>
      </c>
      <c r="AB136" s="37">
        <v>0.14602999999999999</v>
      </c>
      <c r="AC136" s="36"/>
      <c r="AE136" s="37"/>
      <c r="AF136" s="36"/>
      <c r="AH136" s="37"/>
      <c r="AL136" s="36"/>
      <c r="AN136" s="37"/>
      <c r="AR136" s="36"/>
      <c r="AT136" s="37"/>
      <c r="AU136" s="36"/>
      <c r="AW136" s="37"/>
    </row>
    <row r="137" spans="1:49" s="70" customFormat="1" x14ac:dyDescent="0.2">
      <c r="A137" s="69" t="s">
        <v>181</v>
      </c>
      <c r="B137" s="69"/>
      <c r="D137" s="71"/>
      <c r="E137" s="69"/>
      <c r="G137" s="71"/>
      <c r="J137" s="71"/>
      <c r="K137" s="69"/>
      <c r="M137" s="71"/>
      <c r="P137" s="71"/>
      <c r="T137" s="69"/>
      <c r="V137" s="71"/>
      <c r="Z137" s="69">
        <v>0.66100000000000003</v>
      </c>
      <c r="AB137" s="71">
        <v>7.084E-2</v>
      </c>
      <c r="AC137" s="69"/>
      <c r="AE137" s="71"/>
      <c r="AF137" s="69"/>
      <c r="AH137" s="71"/>
      <c r="AL137" s="69"/>
      <c r="AN137" s="71"/>
      <c r="AR137" s="69"/>
      <c r="AT137" s="71"/>
      <c r="AU137" s="69"/>
      <c r="AW137" s="71"/>
    </row>
    <row r="140" spans="1:49" x14ac:dyDescent="0.2">
      <c r="A140" t="s">
        <v>184</v>
      </c>
      <c r="Z140" s="3">
        <v>1E-3</v>
      </c>
      <c r="AA140" t="s">
        <v>11</v>
      </c>
      <c r="AB140" s="4">
        <v>3.5139999999999998E-2</v>
      </c>
    </row>
    <row r="141" spans="1:49" x14ac:dyDescent="0.2">
      <c r="A141" t="s">
        <v>227</v>
      </c>
      <c r="Z141" s="3">
        <v>7.0000000000000001E-3</v>
      </c>
      <c r="AA141" t="s">
        <v>51</v>
      </c>
      <c r="AB141" s="4">
        <v>2.8989999999999998E-2</v>
      </c>
    </row>
    <row r="142" spans="1:49" x14ac:dyDescent="0.2">
      <c r="A142" t="s">
        <v>185</v>
      </c>
      <c r="Z142" s="3">
        <v>0.26100000000000001</v>
      </c>
      <c r="AB142" s="4">
        <v>1.342E-2</v>
      </c>
    </row>
    <row r="143" spans="1:49" x14ac:dyDescent="0.2">
      <c r="A143" t="s">
        <v>186</v>
      </c>
      <c r="Z143" s="3">
        <v>0.17199999999999999</v>
      </c>
      <c r="AB143" s="4">
        <v>1.472E-2</v>
      </c>
    </row>
    <row r="144" spans="1:49" x14ac:dyDescent="0.2">
      <c r="A144" t="s">
        <v>187</v>
      </c>
      <c r="Z144" s="3">
        <v>0.161</v>
      </c>
      <c r="AB144" s="4">
        <v>1.5959999999999998E-2</v>
      </c>
    </row>
    <row r="145" spans="1:28" x14ac:dyDescent="0.2">
      <c r="A145" t="s">
        <v>188</v>
      </c>
      <c r="Z145" s="3">
        <v>0.193</v>
      </c>
      <c r="AB145" s="4">
        <v>1.6619999999999999E-2</v>
      </c>
    </row>
    <row r="146" spans="1:28" x14ac:dyDescent="0.2">
      <c r="A146" t="s">
        <v>189</v>
      </c>
      <c r="Z146" s="3">
        <v>0.72699999999999998</v>
      </c>
      <c r="AB146" s="4">
        <v>8.2299999999999995E-3</v>
      </c>
    </row>
    <row r="147" spans="1:28" x14ac:dyDescent="0.2">
      <c r="A147" t="s">
        <v>190</v>
      </c>
      <c r="Z147" s="3">
        <v>0.97099999999999997</v>
      </c>
      <c r="AB147" s="4">
        <v>4.8399999999999997E-3</v>
      </c>
    </row>
    <row r="149" spans="1:28" x14ac:dyDescent="0.2">
      <c r="A149" t="s">
        <v>167</v>
      </c>
      <c r="Z149" s="3">
        <v>2.7E-2</v>
      </c>
      <c r="AA149" t="s">
        <v>7</v>
      </c>
      <c r="AB149" s="4">
        <v>1.9390000000000001E-2</v>
      </c>
    </row>
    <row r="150" spans="1:28" x14ac:dyDescent="0.2">
      <c r="A150" t="s">
        <v>169</v>
      </c>
      <c r="Z150" s="3">
        <v>4.8000000000000001E-2</v>
      </c>
      <c r="AA150" t="s">
        <v>7</v>
      </c>
      <c r="AB150" s="4">
        <v>1.6119999999999999E-2</v>
      </c>
    </row>
    <row r="151" spans="1:28" x14ac:dyDescent="0.2">
      <c r="A151" t="s">
        <v>170</v>
      </c>
      <c r="Z151" s="3">
        <v>8.8999999999999996E-2</v>
      </c>
      <c r="AA151" t="s">
        <v>8</v>
      </c>
      <c r="AB151" s="4">
        <v>1.251E-2</v>
      </c>
    </row>
    <row r="152" spans="1:28" x14ac:dyDescent="0.2">
      <c r="A152" t="s">
        <v>168</v>
      </c>
      <c r="Z152" s="3">
        <v>0.188</v>
      </c>
      <c r="AB152" s="4">
        <v>1.056E-2</v>
      </c>
    </row>
    <row r="153" spans="1:28" x14ac:dyDescent="0.2">
      <c r="A153" t="s">
        <v>171</v>
      </c>
      <c r="Z153" s="3">
        <v>0.223</v>
      </c>
      <c r="AB153" s="4">
        <v>9.4900000000000002E-3</v>
      </c>
    </row>
    <row r="155" spans="1:28" x14ac:dyDescent="0.2">
      <c r="A155" t="s">
        <v>172</v>
      </c>
    </row>
  </sheetData>
  <mergeCells count="17">
    <mergeCell ref="AR1:AT1"/>
    <mergeCell ref="AU1:AW1"/>
    <mergeCell ref="N1:P1"/>
    <mergeCell ref="Q1:S1"/>
    <mergeCell ref="Z1:AB1"/>
    <mergeCell ref="AC1:AE1"/>
    <mergeCell ref="T1:V1"/>
    <mergeCell ref="W1:Y1"/>
    <mergeCell ref="AF1:AH1"/>
    <mergeCell ref="AI1:AK1"/>
    <mergeCell ref="AO1:AQ1"/>
    <mergeCell ref="AL1:AN1"/>
    <mergeCell ref="A1:A2"/>
    <mergeCell ref="B1:D1"/>
    <mergeCell ref="H1:J1"/>
    <mergeCell ref="E1:G1"/>
    <mergeCell ref="K1:M1"/>
  </mergeCells>
  <conditionalFormatting sqref="A30:A52">
    <cfRule type="containsText" dxfId="5" priority="1" operator="containsText" text="42">
      <formula>NOT(ISERROR(SEARCH("42",A30)))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B7A3-B2EC-C841-91C4-2AA29F9DC3DF}">
  <dimension ref="A1:F49"/>
  <sheetViews>
    <sheetView topLeftCell="A13" workbookViewId="0">
      <selection activeCell="D2" sqref="D2"/>
    </sheetView>
  </sheetViews>
  <sheetFormatPr baseColWidth="10" defaultRowHeight="16" x14ac:dyDescent="0.2"/>
  <cols>
    <col min="1" max="1" width="10.83203125" customWidth="1"/>
    <col min="2" max="2" width="18.1640625" bestFit="1" customWidth="1"/>
    <col min="6" max="6" width="14.6640625" bestFit="1" customWidth="1"/>
  </cols>
  <sheetData>
    <row r="1" spans="1:6" x14ac:dyDescent="0.2">
      <c r="A1" s="62" t="s">
        <v>136</v>
      </c>
      <c r="B1" s="62" t="s">
        <v>149</v>
      </c>
      <c r="C1" s="62" t="s">
        <v>141</v>
      </c>
      <c r="D1" s="62" t="s">
        <v>140</v>
      </c>
      <c r="E1" s="62" t="s">
        <v>150</v>
      </c>
      <c r="F1" s="63" t="s">
        <v>151</v>
      </c>
    </row>
    <row r="2" spans="1:6" x14ac:dyDescent="0.2">
      <c r="A2" s="62" t="s">
        <v>138</v>
      </c>
      <c r="B2" s="62" t="s">
        <v>139</v>
      </c>
      <c r="C2" s="62" t="s">
        <v>142</v>
      </c>
      <c r="D2" s="62">
        <v>0.35399999999999998</v>
      </c>
      <c r="E2" s="62"/>
      <c r="F2" s="62">
        <f>-LOG10(D2)</f>
        <v>0.45099673797421219</v>
      </c>
    </row>
    <row r="3" spans="1:6" x14ac:dyDescent="0.2">
      <c r="A3" s="62" t="s">
        <v>138</v>
      </c>
      <c r="B3" s="62" t="s">
        <v>139</v>
      </c>
      <c r="C3" s="62" t="s">
        <v>143</v>
      </c>
      <c r="D3" s="62">
        <v>0.63</v>
      </c>
      <c r="E3" s="62"/>
      <c r="F3" s="62">
        <f t="shared" ref="F3:F48" si="0">-LOG10(D3)</f>
        <v>0.20065945054641829</v>
      </c>
    </row>
    <row r="4" spans="1:6" x14ac:dyDescent="0.2">
      <c r="A4" s="62" t="s">
        <v>138</v>
      </c>
      <c r="B4" s="62" t="s">
        <v>144</v>
      </c>
      <c r="C4" s="62" t="s">
        <v>142</v>
      </c>
      <c r="D4" s="62">
        <v>0.11799999999999999</v>
      </c>
      <c r="E4" s="62"/>
      <c r="F4" s="62">
        <f t="shared" si="0"/>
        <v>0.92811799269387463</v>
      </c>
    </row>
    <row r="5" spans="1:6" x14ac:dyDescent="0.2">
      <c r="A5" s="62" t="s">
        <v>138</v>
      </c>
      <c r="B5" s="62" t="s">
        <v>144</v>
      </c>
      <c r="C5" s="62" t="s">
        <v>143</v>
      </c>
      <c r="D5" s="62">
        <v>0.29799999999999999</v>
      </c>
      <c r="E5" s="62"/>
      <c r="F5" s="62">
        <f t="shared" si="0"/>
        <v>0.52578373592374483</v>
      </c>
    </row>
    <row r="6" spans="1:6" x14ac:dyDescent="0.2">
      <c r="A6" s="62" t="s">
        <v>138</v>
      </c>
      <c r="B6" s="62" t="s">
        <v>145</v>
      </c>
      <c r="C6" s="62" t="s">
        <v>142</v>
      </c>
      <c r="D6" s="62">
        <v>0.33700000000000002</v>
      </c>
      <c r="E6" s="62"/>
      <c r="F6" s="62">
        <f t="shared" si="0"/>
        <v>0.47237009912866135</v>
      </c>
    </row>
    <row r="7" spans="1:6" x14ac:dyDescent="0.2">
      <c r="A7" s="62" t="s">
        <v>138</v>
      </c>
      <c r="B7" s="62" t="s">
        <v>145</v>
      </c>
      <c r="C7" s="62" t="s">
        <v>143</v>
      </c>
      <c r="D7" s="62">
        <v>0.26200000000000001</v>
      </c>
      <c r="E7" s="62"/>
      <c r="F7" s="62">
        <f t="shared" si="0"/>
        <v>0.58169870868025453</v>
      </c>
    </row>
    <row r="8" spans="1:6" x14ac:dyDescent="0.2">
      <c r="A8" s="62" t="s">
        <v>138</v>
      </c>
      <c r="B8" s="62" t="s">
        <v>146</v>
      </c>
      <c r="C8" s="62" t="s">
        <v>142</v>
      </c>
      <c r="D8" s="62">
        <v>0.40899999999999997</v>
      </c>
      <c r="E8" s="62"/>
      <c r="F8" s="62">
        <f t="shared" si="0"/>
        <v>0.38827669199265824</v>
      </c>
    </row>
    <row r="9" spans="1:6" x14ac:dyDescent="0.2">
      <c r="A9" s="62" t="s">
        <v>138</v>
      </c>
      <c r="B9" s="62" t="s">
        <v>146</v>
      </c>
      <c r="C9" s="62" t="s">
        <v>143</v>
      </c>
      <c r="D9" s="62">
        <v>0.30599999999999999</v>
      </c>
      <c r="E9" s="62"/>
      <c r="F9" s="62">
        <f t="shared" si="0"/>
        <v>0.51427857351841999</v>
      </c>
    </row>
    <row r="10" spans="1:6" x14ac:dyDescent="0.2">
      <c r="A10" s="62" t="s">
        <v>138</v>
      </c>
      <c r="B10" s="62" t="s">
        <v>148</v>
      </c>
      <c r="C10" s="62" t="s">
        <v>142</v>
      </c>
      <c r="D10" s="62">
        <v>0.10199999999999999</v>
      </c>
      <c r="E10" s="62"/>
      <c r="F10" s="62">
        <f t="shared" si="0"/>
        <v>0.99139982823808248</v>
      </c>
    </row>
    <row r="11" spans="1:6" x14ac:dyDescent="0.2">
      <c r="A11" s="62" t="s">
        <v>138</v>
      </c>
      <c r="B11" s="62" t="s">
        <v>148</v>
      </c>
      <c r="C11" s="62" t="s">
        <v>143</v>
      </c>
      <c r="D11" s="62">
        <v>9.0999999999999998E-2</v>
      </c>
      <c r="E11" s="62" t="s">
        <v>8</v>
      </c>
      <c r="F11" s="62">
        <f t="shared" si="0"/>
        <v>1.0409586076789064</v>
      </c>
    </row>
    <row r="12" spans="1:6" x14ac:dyDescent="0.2">
      <c r="A12" s="62" t="s">
        <v>138</v>
      </c>
      <c r="B12" s="62" t="s">
        <v>147</v>
      </c>
      <c r="C12" s="62" t="s">
        <v>142</v>
      </c>
      <c r="D12" s="62">
        <v>0.32200000000000001</v>
      </c>
      <c r="E12" s="62"/>
      <c r="F12" s="62">
        <f t="shared" si="0"/>
        <v>0.49214412830416909</v>
      </c>
    </row>
    <row r="13" spans="1:6" x14ac:dyDescent="0.2">
      <c r="A13" s="62" t="s">
        <v>138</v>
      </c>
      <c r="B13" s="62" t="s">
        <v>147</v>
      </c>
      <c r="C13" s="62" t="s">
        <v>143</v>
      </c>
      <c r="D13" s="62">
        <v>0.315</v>
      </c>
      <c r="E13" s="62"/>
      <c r="F13" s="62">
        <f t="shared" si="0"/>
        <v>0.50168944621039946</v>
      </c>
    </row>
    <row r="14" spans="1:6" x14ac:dyDescent="0.2">
      <c r="A14" s="62" t="s">
        <v>137</v>
      </c>
      <c r="B14" s="62" t="s">
        <v>139</v>
      </c>
      <c r="C14" s="62" t="s">
        <v>142</v>
      </c>
      <c r="D14" s="62">
        <v>0.54800000000000004</v>
      </c>
      <c r="E14" s="62"/>
      <c r="F14" s="62">
        <f t="shared" si="0"/>
        <v>0.26121944151563081</v>
      </c>
    </row>
    <row r="15" spans="1:6" x14ac:dyDescent="0.2">
      <c r="A15" s="62" t="s">
        <v>137</v>
      </c>
      <c r="B15" s="62" t="s">
        <v>139</v>
      </c>
      <c r="C15" s="62" t="s">
        <v>143</v>
      </c>
      <c r="D15" s="62">
        <v>0.73499999999999999</v>
      </c>
      <c r="E15" s="62"/>
      <c r="F15" s="62">
        <f t="shared" si="0"/>
        <v>0.13371266091580511</v>
      </c>
    </row>
    <row r="16" spans="1:6" x14ac:dyDescent="0.2">
      <c r="A16" s="62" t="s">
        <v>137</v>
      </c>
      <c r="B16" s="62" t="s">
        <v>144</v>
      </c>
      <c r="C16" s="62" t="s">
        <v>142</v>
      </c>
      <c r="D16" s="62">
        <v>0.24099999999999999</v>
      </c>
      <c r="E16" s="62"/>
      <c r="F16" s="62">
        <f t="shared" si="0"/>
        <v>0.61798295742513165</v>
      </c>
    </row>
    <row r="17" spans="1:6" x14ac:dyDescent="0.2">
      <c r="A17" s="62" t="s">
        <v>137</v>
      </c>
      <c r="B17" s="62" t="s">
        <v>144</v>
      </c>
      <c r="C17" s="62" t="s">
        <v>143</v>
      </c>
      <c r="D17" s="62">
        <v>0.46800000000000003</v>
      </c>
      <c r="E17" s="62"/>
      <c r="F17" s="62">
        <f t="shared" si="0"/>
        <v>0.32975414692587596</v>
      </c>
    </row>
    <row r="18" spans="1:6" x14ac:dyDescent="0.2">
      <c r="A18" s="62" t="s">
        <v>137</v>
      </c>
      <c r="B18" s="62" t="s">
        <v>145</v>
      </c>
      <c r="C18" s="62" t="s">
        <v>142</v>
      </c>
      <c r="D18" s="62">
        <v>0.58099999999999996</v>
      </c>
      <c r="E18" s="62"/>
      <c r="F18" s="62">
        <f t="shared" si="0"/>
        <v>0.23582386760966931</v>
      </c>
    </row>
    <row r="19" spans="1:6" x14ac:dyDescent="0.2">
      <c r="A19" s="62" t="s">
        <v>137</v>
      </c>
      <c r="B19" s="62" t="s">
        <v>145</v>
      </c>
      <c r="C19" s="62" t="s">
        <v>143</v>
      </c>
      <c r="D19" s="62">
        <v>0.48399999999999999</v>
      </c>
      <c r="E19" s="62"/>
      <c r="F19" s="62">
        <f t="shared" si="0"/>
        <v>0.31515463835558755</v>
      </c>
    </row>
    <row r="20" spans="1:6" x14ac:dyDescent="0.2">
      <c r="A20" s="62" t="s">
        <v>137</v>
      </c>
      <c r="B20" s="62" t="s">
        <v>146</v>
      </c>
      <c r="C20" s="62" t="s">
        <v>142</v>
      </c>
      <c r="D20" s="62">
        <v>0.40200000000000002</v>
      </c>
      <c r="E20" s="62"/>
      <c r="F20" s="62">
        <f t="shared" si="0"/>
        <v>0.39577394691552992</v>
      </c>
    </row>
    <row r="21" spans="1:6" x14ac:dyDescent="0.2">
      <c r="A21" s="62" t="s">
        <v>137</v>
      </c>
      <c r="B21" s="62" t="s">
        <v>146</v>
      </c>
      <c r="C21" s="62" t="s">
        <v>143</v>
      </c>
      <c r="D21" s="62">
        <v>0.311</v>
      </c>
      <c r="E21" s="62"/>
      <c r="F21" s="62">
        <f t="shared" si="0"/>
        <v>0.5072396109731625</v>
      </c>
    </row>
    <row r="22" spans="1:6" x14ac:dyDescent="0.2">
      <c r="A22" s="62" t="s">
        <v>137</v>
      </c>
      <c r="B22" s="62" t="s">
        <v>148</v>
      </c>
      <c r="C22" s="62" t="s">
        <v>142</v>
      </c>
      <c r="D22" s="62">
        <v>3.9E-2</v>
      </c>
      <c r="E22" s="62" t="s">
        <v>7</v>
      </c>
      <c r="F22" s="62">
        <f t="shared" si="0"/>
        <v>1.4089353929735009</v>
      </c>
    </row>
    <row r="23" spans="1:6" x14ac:dyDescent="0.2">
      <c r="A23" s="62" t="s">
        <v>137</v>
      </c>
      <c r="B23" s="62" t="s">
        <v>148</v>
      </c>
      <c r="C23" s="62" t="s">
        <v>143</v>
      </c>
      <c r="D23" s="62">
        <v>3.5000000000000003E-2</v>
      </c>
      <c r="E23" s="62" t="s">
        <v>7</v>
      </c>
      <c r="F23" s="62">
        <f t="shared" si="0"/>
        <v>1.4559319556497243</v>
      </c>
    </row>
    <row r="24" spans="1:6" x14ac:dyDescent="0.2">
      <c r="A24" s="62" t="s">
        <v>137</v>
      </c>
      <c r="B24" s="62" t="s">
        <v>147</v>
      </c>
      <c r="C24" s="62" t="s">
        <v>142</v>
      </c>
      <c r="D24" s="62">
        <v>0.14000000000000001</v>
      </c>
      <c r="E24" s="62"/>
      <c r="F24" s="62">
        <f t="shared" si="0"/>
        <v>0.85387196432176193</v>
      </c>
    </row>
    <row r="25" spans="1:6" x14ac:dyDescent="0.2">
      <c r="A25" s="62" t="s">
        <v>137</v>
      </c>
      <c r="B25" s="62" t="s">
        <v>147</v>
      </c>
      <c r="C25" s="62" t="s">
        <v>143</v>
      </c>
      <c r="D25" s="62">
        <v>0.46800000000000003</v>
      </c>
      <c r="E25" s="62"/>
      <c r="F25" s="62">
        <f t="shared" si="0"/>
        <v>0.32975414692587596</v>
      </c>
    </row>
    <row r="26" spans="1:6" x14ac:dyDescent="0.2">
      <c r="A26" s="62" t="s">
        <v>153</v>
      </c>
      <c r="B26" s="62" t="s">
        <v>139</v>
      </c>
      <c r="C26" s="62" t="s">
        <v>142</v>
      </c>
      <c r="D26" s="62">
        <v>0.747</v>
      </c>
      <c r="E26" s="62"/>
      <c r="F26" s="62">
        <f t="shared" si="0"/>
        <v>0.12667939818460122</v>
      </c>
    </row>
    <row r="27" spans="1:6" x14ac:dyDescent="0.2">
      <c r="A27" s="62" t="s">
        <v>153</v>
      </c>
      <c r="B27" s="62" t="s">
        <v>139</v>
      </c>
      <c r="C27" s="62" t="s">
        <v>143</v>
      </c>
      <c r="D27" s="62">
        <v>0.20899999999999999</v>
      </c>
      <c r="E27" s="62"/>
      <c r="F27" s="62">
        <f t="shared" si="0"/>
        <v>0.679853713888946</v>
      </c>
    </row>
    <row r="28" spans="1:6" x14ac:dyDescent="0.2">
      <c r="A28" s="62" t="s">
        <v>153</v>
      </c>
      <c r="B28" s="62" t="s">
        <v>144</v>
      </c>
      <c r="C28" s="62" t="s">
        <v>142</v>
      </c>
      <c r="D28" s="62">
        <v>3.5999999999999997E-2</v>
      </c>
      <c r="E28" s="62" t="s">
        <v>7</v>
      </c>
      <c r="F28" s="62">
        <f t="shared" si="0"/>
        <v>1.4436974992327127</v>
      </c>
    </row>
    <row r="29" spans="1:6" x14ac:dyDescent="0.2">
      <c r="A29" s="62" t="s">
        <v>153</v>
      </c>
      <c r="B29" s="62" t="s">
        <v>144</v>
      </c>
      <c r="C29" s="62" t="s">
        <v>143</v>
      </c>
      <c r="D29" s="62">
        <v>5.0999999999999997E-2</v>
      </c>
      <c r="E29" s="62" t="s">
        <v>8</v>
      </c>
      <c r="F29" s="62">
        <f t="shared" si="0"/>
        <v>1.2924298239020637</v>
      </c>
    </row>
    <row r="30" spans="1:6" x14ac:dyDescent="0.2">
      <c r="A30" s="62" t="s">
        <v>153</v>
      </c>
      <c r="B30" s="62" t="s">
        <v>145</v>
      </c>
      <c r="C30" s="62" t="s">
        <v>142</v>
      </c>
      <c r="D30" s="62">
        <v>0.41399999999999998</v>
      </c>
      <c r="E30" s="62"/>
      <c r="F30" s="62">
        <f t="shared" si="0"/>
        <v>0.38299965887910109</v>
      </c>
    </row>
    <row r="31" spans="1:6" x14ac:dyDescent="0.2">
      <c r="A31" s="62" t="s">
        <v>153</v>
      </c>
      <c r="B31" s="62" t="s">
        <v>145</v>
      </c>
      <c r="C31" s="62" t="s">
        <v>143</v>
      </c>
      <c r="D31" s="62">
        <v>0.92800000000000005</v>
      </c>
      <c r="E31" s="62"/>
      <c r="F31" s="62">
        <f t="shared" si="0"/>
        <v>3.2452023781137915E-2</v>
      </c>
    </row>
    <row r="32" spans="1:6" x14ac:dyDescent="0.2">
      <c r="A32" s="62" t="s">
        <v>153</v>
      </c>
      <c r="B32" s="62" t="s">
        <v>146</v>
      </c>
      <c r="C32" s="62" t="s">
        <v>142</v>
      </c>
      <c r="D32" s="62">
        <v>0.183</v>
      </c>
      <c r="E32" s="62"/>
      <c r="F32" s="62">
        <f t="shared" si="0"/>
        <v>0.73754891026957059</v>
      </c>
    </row>
    <row r="33" spans="1:6" x14ac:dyDescent="0.2">
      <c r="A33" s="62" t="s">
        <v>153</v>
      </c>
      <c r="B33" s="62" t="s">
        <v>146</v>
      </c>
      <c r="C33" s="62" t="s">
        <v>143</v>
      </c>
      <c r="D33" s="62">
        <v>0.64700000000000002</v>
      </c>
      <c r="E33" s="62"/>
      <c r="F33" s="62">
        <f t="shared" si="0"/>
        <v>0.18909571933129959</v>
      </c>
    </row>
    <row r="34" spans="1:6" x14ac:dyDescent="0.2">
      <c r="A34" s="62" t="s">
        <v>153</v>
      </c>
      <c r="B34" s="62" t="s">
        <v>148</v>
      </c>
      <c r="C34" s="62" t="s">
        <v>142</v>
      </c>
      <c r="D34" s="62">
        <v>7.0000000000000001E-3</v>
      </c>
      <c r="E34" s="62" t="s">
        <v>51</v>
      </c>
      <c r="F34" s="62">
        <f t="shared" si="0"/>
        <v>2.1549019599857431</v>
      </c>
    </row>
    <row r="35" spans="1:6" x14ac:dyDescent="0.2">
      <c r="A35" s="62" t="s">
        <v>153</v>
      </c>
      <c r="B35" s="62" t="s">
        <v>148</v>
      </c>
      <c r="C35" s="62" t="s">
        <v>143</v>
      </c>
      <c r="D35" s="62">
        <v>3.0000000000000001E-3</v>
      </c>
      <c r="E35" s="62" t="s">
        <v>51</v>
      </c>
      <c r="F35" s="62">
        <f t="shared" si="0"/>
        <v>2.5228787452803374</v>
      </c>
    </row>
    <row r="36" spans="1:6" x14ac:dyDescent="0.2">
      <c r="A36" s="62" t="s">
        <v>153</v>
      </c>
      <c r="B36" s="62" t="s">
        <v>147</v>
      </c>
      <c r="C36" s="62" t="s">
        <v>142</v>
      </c>
      <c r="D36" s="62">
        <v>1.9E-2</v>
      </c>
      <c r="E36" s="62" t="s">
        <v>7</v>
      </c>
      <c r="F36" s="62">
        <f t="shared" si="0"/>
        <v>1.7212463990471711</v>
      </c>
    </row>
    <row r="37" spans="1:6" x14ac:dyDescent="0.2">
      <c r="A37" s="62" t="s">
        <v>153</v>
      </c>
      <c r="B37" s="62" t="s">
        <v>147</v>
      </c>
      <c r="C37" s="62" t="s">
        <v>143</v>
      </c>
      <c r="D37" s="62">
        <v>0.17199999999999999</v>
      </c>
      <c r="E37" s="62"/>
      <c r="F37" s="62">
        <f t="shared" si="0"/>
        <v>0.76447155309245107</v>
      </c>
    </row>
    <row r="38" spans="1:6" x14ac:dyDescent="0.2">
      <c r="A38" s="62" t="s">
        <v>152</v>
      </c>
      <c r="B38" s="62" t="s">
        <v>139</v>
      </c>
      <c r="C38" s="62" t="s">
        <v>142</v>
      </c>
      <c r="D38" s="62">
        <v>0.108</v>
      </c>
      <c r="E38" s="62"/>
      <c r="F38" s="62">
        <f t="shared" si="0"/>
        <v>0.96657624451305035</v>
      </c>
    </row>
    <row r="39" spans="1:6" x14ac:dyDescent="0.2">
      <c r="A39" s="62" t="s">
        <v>152</v>
      </c>
      <c r="B39" s="62" t="s">
        <v>139</v>
      </c>
      <c r="C39" s="62" t="s">
        <v>143</v>
      </c>
      <c r="D39" s="62">
        <v>0.113</v>
      </c>
      <c r="E39" s="62" t="s">
        <v>8</v>
      </c>
      <c r="F39" s="62">
        <f t="shared" si="0"/>
        <v>0.94692155651658028</v>
      </c>
    </row>
    <row r="40" spans="1:6" x14ac:dyDescent="0.2">
      <c r="A40" s="62" t="s">
        <v>152</v>
      </c>
      <c r="B40" s="62" t="s">
        <v>144</v>
      </c>
      <c r="C40" s="62" t="s">
        <v>142</v>
      </c>
      <c r="D40" s="62">
        <v>1.9E-2</v>
      </c>
      <c r="E40" s="62" t="s">
        <v>7</v>
      </c>
      <c r="F40" s="62">
        <f t="shared" si="0"/>
        <v>1.7212463990471711</v>
      </c>
    </row>
    <row r="41" spans="1:6" x14ac:dyDescent="0.2">
      <c r="A41" s="62" t="s">
        <v>152</v>
      </c>
      <c r="B41" s="62" t="s">
        <v>144</v>
      </c>
      <c r="C41" s="62" t="s">
        <v>143</v>
      </c>
      <c r="D41" s="62">
        <v>1E-3</v>
      </c>
      <c r="E41" s="62" t="s">
        <v>11</v>
      </c>
      <c r="F41" s="62">
        <f t="shared" si="0"/>
        <v>3</v>
      </c>
    </row>
    <row r="42" spans="1:6" x14ac:dyDescent="0.2">
      <c r="A42" s="62" t="s">
        <v>152</v>
      </c>
      <c r="B42" s="62" t="s">
        <v>145</v>
      </c>
      <c r="C42" s="62" t="s">
        <v>142</v>
      </c>
      <c r="D42" s="62">
        <v>0.127</v>
      </c>
      <c r="E42" s="62"/>
      <c r="F42" s="62">
        <f t="shared" si="0"/>
        <v>0.89619627904404309</v>
      </c>
    </row>
    <row r="43" spans="1:6" x14ac:dyDescent="0.2">
      <c r="A43" s="62" t="s">
        <v>152</v>
      </c>
      <c r="B43" s="62" t="s">
        <v>145</v>
      </c>
      <c r="C43" s="62" t="s">
        <v>143</v>
      </c>
      <c r="D43" s="62">
        <v>0.81599999999999995</v>
      </c>
      <c r="E43" s="62"/>
      <c r="F43" s="62">
        <f t="shared" si="0"/>
        <v>8.8309841246138887E-2</v>
      </c>
    </row>
    <row r="44" spans="1:6" x14ac:dyDescent="0.2">
      <c r="A44" s="62" t="s">
        <v>152</v>
      </c>
      <c r="B44" s="62" t="s">
        <v>146</v>
      </c>
      <c r="C44" s="62" t="s">
        <v>142</v>
      </c>
      <c r="D44" s="62">
        <v>2.9000000000000001E-2</v>
      </c>
      <c r="E44" s="62" t="s">
        <v>7</v>
      </c>
      <c r="F44" s="62">
        <f t="shared" si="0"/>
        <v>1.5376020021010439</v>
      </c>
    </row>
    <row r="45" spans="1:6" x14ac:dyDescent="0.2">
      <c r="A45" s="62" t="s">
        <v>152</v>
      </c>
      <c r="B45" s="62" t="s">
        <v>146</v>
      </c>
      <c r="C45" s="62" t="s">
        <v>143</v>
      </c>
      <c r="D45" s="62">
        <v>0.51300000000000001</v>
      </c>
      <c r="E45" s="62"/>
      <c r="F45" s="62">
        <f t="shared" si="0"/>
        <v>0.28988263488818372</v>
      </c>
    </row>
    <row r="46" spans="1:6" x14ac:dyDescent="0.2">
      <c r="A46" s="62" t="s">
        <v>152</v>
      </c>
      <c r="B46" s="62" t="s">
        <v>148</v>
      </c>
      <c r="C46" s="62" t="s">
        <v>142</v>
      </c>
      <c r="D46" s="62">
        <v>1E-3</v>
      </c>
      <c r="E46" s="62" t="s">
        <v>11</v>
      </c>
      <c r="F46" s="62">
        <f t="shared" si="0"/>
        <v>3</v>
      </c>
    </row>
    <row r="47" spans="1:6" x14ac:dyDescent="0.2">
      <c r="A47" s="62" t="s">
        <v>152</v>
      </c>
      <c r="B47" s="62" t="s">
        <v>148</v>
      </c>
      <c r="C47" s="62" t="s">
        <v>143</v>
      </c>
      <c r="D47" s="62">
        <v>0.01</v>
      </c>
      <c r="E47" s="62" t="s">
        <v>51</v>
      </c>
      <c r="F47" s="62">
        <f t="shared" si="0"/>
        <v>2</v>
      </c>
    </row>
    <row r="48" spans="1:6" x14ac:dyDescent="0.2">
      <c r="A48" s="62" t="s">
        <v>152</v>
      </c>
      <c r="B48" s="62" t="s">
        <v>147</v>
      </c>
      <c r="C48" s="62" t="s">
        <v>142</v>
      </c>
      <c r="D48" s="62">
        <v>1.7000000000000001E-2</v>
      </c>
      <c r="E48" s="62" t="s">
        <v>7</v>
      </c>
      <c r="F48" s="62">
        <f t="shared" si="0"/>
        <v>1.7695510786217261</v>
      </c>
    </row>
    <row r="49" spans="1:6" x14ac:dyDescent="0.2">
      <c r="A49" s="62" t="s">
        <v>152</v>
      </c>
      <c r="B49" s="62" t="s">
        <v>147</v>
      </c>
      <c r="C49" s="62" t="s">
        <v>143</v>
      </c>
      <c r="D49" s="62">
        <v>0.14199999999999999</v>
      </c>
      <c r="E49" s="62"/>
      <c r="F49" s="62">
        <f>-LOG10(D49)</f>
        <v>0.8477116556169435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D901B-C9B8-2F4D-AD66-DBD1FC1BAE7B}">
  <dimension ref="A1:F49"/>
  <sheetViews>
    <sheetView workbookViewId="0">
      <selection activeCell="A14" sqref="A14:A25"/>
    </sheetView>
  </sheetViews>
  <sheetFormatPr baseColWidth="10" defaultRowHeight="16" x14ac:dyDescent="0.2"/>
  <cols>
    <col min="1" max="1" width="23.33203125" bestFit="1" customWidth="1"/>
    <col min="6" max="6" width="14.6640625" bestFit="1" customWidth="1"/>
  </cols>
  <sheetData>
    <row r="1" spans="1:6" x14ac:dyDescent="0.2">
      <c r="A1" s="62" t="s">
        <v>136</v>
      </c>
      <c r="B1" s="62" t="s">
        <v>149</v>
      </c>
      <c r="C1" s="62" t="s">
        <v>141</v>
      </c>
      <c r="D1" s="62" t="s">
        <v>140</v>
      </c>
      <c r="E1" s="62" t="s">
        <v>150</v>
      </c>
      <c r="F1" s="63" t="s">
        <v>151</v>
      </c>
    </row>
    <row r="2" spans="1:6" x14ac:dyDescent="0.2">
      <c r="A2" s="62" t="s">
        <v>164</v>
      </c>
      <c r="B2" s="62" t="s">
        <v>139</v>
      </c>
      <c r="C2" s="62" t="s">
        <v>142</v>
      </c>
      <c r="D2" s="62">
        <v>0.81200000000000006</v>
      </c>
      <c r="E2" s="62"/>
      <c r="F2" s="62">
        <f>-LOG10(D2)</f>
        <v>9.0443970758824668E-2</v>
      </c>
    </row>
    <row r="3" spans="1:6" x14ac:dyDescent="0.2">
      <c r="A3" s="62" t="s">
        <v>164</v>
      </c>
      <c r="B3" s="62" t="s">
        <v>139</v>
      </c>
      <c r="C3" s="62" t="s">
        <v>143</v>
      </c>
      <c r="D3" s="62">
        <v>0.89200000000000002</v>
      </c>
      <c r="E3" s="62"/>
      <c r="F3" s="62">
        <f t="shared" ref="F3:F48" si="0">-LOG10(D3)</f>
        <v>4.9635145623876928E-2</v>
      </c>
    </row>
    <row r="4" spans="1:6" x14ac:dyDescent="0.2">
      <c r="A4" s="62" t="s">
        <v>164</v>
      </c>
      <c r="B4" s="62" t="s">
        <v>144</v>
      </c>
      <c r="C4" s="62" t="s">
        <v>142</v>
      </c>
      <c r="D4" s="62">
        <v>0.78100000000000003</v>
      </c>
      <c r="E4" s="62"/>
      <c r="F4" s="62">
        <f t="shared" si="0"/>
        <v>0.10734896612269966</v>
      </c>
    </row>
    <row r="5" spans="1:6" x14ac:dyDescent="0.2">
      <c r="A5" s="62" t="s">
        <v>164</v>
      </c>
      <c r="B5" s="62" t="s">
        <v>144</v>
      </c>
      <c r="C5" s="62" t="s">
        <v>143</v>
      </c>
      <c r="D5" s="62">
        <v>0.67800000000000005</v>
      </c>
      <c r="E5" s="62"/>
      <c r="F5" s="62">
        <f t="shared" si="0"/>
        <v>0.16877030613293661</v>
      </c>
    </row>
    <row r="6" spans="1:6" x14ac:dyDescent="0.2">
      <c r="A6" s="62" t="s">
        <v>164</v>
      </c>
      <c r="B6" s="62" t="s">
        <v>145</v>
      </c>
      <c r="C6" s="62" t="s">
        <v>142</v>
      </c>
      <c r="D6" s="62">
        <v>0.89</v>
      </c>
      <c r="E6" s="62"/>
      <c r="F6" s="62">
        <f t="shared" si="0"/>
        <v>5.0609993355087209E-2</v>
      </c>
    </row>
    <row r="7" spans="1:6" x14ac:dyDescent="0.2">
      <c r="A7" s="62" t="s">
        <v>164</v>
      </c>
      <c r="B7" s="62" t="s">
        <v>145</v>
      </c>
      <c r="C7" s="62" t="s">
        <v>143</v>
      </c>
      <c r="D7" s="62">
        <v>0.58799999999999997</v>
      </c>
      <c r="E7" s="62"/>
      <c r="F7" s="62">
        <f t="shared" si="0"/>
        <v>0.23062267392386154</v>
      </c>
    </row>
    <row r="8" spans="1:6" x14ac:dyDescent="0.2">
      <c r="A8" s="62" t="s">
        <v>164</v>
      </c>
      <c r="B8" s="62" t="s">
        <v>146</v>
      </c>
      <c r="C8" s="62" t="s">
        <v>142</v>
      </c>
      <c r="D8" s="62">
        <v>0.81200000000000006</v>
      </c>
      <c r="E8" s="62"/>
      <c r="F8" s="62">
        <f t="shared" si="0"/>
        <v>9.0443970758824668E-2</v>
      </c>
    </row>
    <row r="9" spans="1:6" x14ac:dyDescent="0.2">
      <c r="A9" s="62" t="s">
        <v>164</v>
      </c>
      <c r="B9" s="62" t="s">
        <v>146</v>
      </c>
      <c r="C9" s="62" t="s">
        <v>143</v>
      </c>
      <c r="D9" s="62">
        <v>0.49199999999999999</v>
      </c>
      <c r="E9" s="62"/>
      <c r="F9" s="62">
        <f t="shared" si="0"/>
        <v>0.30803489723263966</v>
      </c>
    </row>
    <row r="10" spans="1:6" x14ac:dyDescent="0.2">
      <c r="A10" s="62" t="s">
        <v>164</v>
      </c>
      <c r="B10" s="62" t="s">
        <v>148</v>
      </c>
      <c r="C10" s="62" t="s">
        <v>142</v>
      </c>
      <c r="D10" s="62">
        <v>0.36099999999999999</v>
      </c>
      <c r="E10" s="62"/>
      <c r="F10" s="62">
        <f t="shared" si="0"/>
        <v>0.44249279809434211</v>
      </c>
    </row>
    <row r="11" spans="1:6" x14ac:dyDescent="0.2">
      <c r="A11" s="62" t="s">
        <v>164</v>
      </c>
      <c r="B11" s="62" t="s">
        <v>148</v>
      </c>
      <c r="C11" s="62" t="s">
        <v>143</v>
      </c>
      <c r="D11" s="62">
        <v>0.184</v>
      </c>
      <c r="E11" s="62"/>
      <c r="F11" s="62">
        <f t="shared" si="0"/>
        <v>0.73518217699046351</v>
      </c>
    </row>
    <row r="12" spans="1:6" x14ac:dyDescent="0.2">
      <c r="A12" s="62" t="s">
        <v>164</v>
      </c>
      <c r="B12" s="62" t="s">
        <v>147</v>
      </c>
      <c r="C12" s="62" t="s">
        <v>142</v>
      </c>
      <c r="D12" s="62">
        <v>0.27100000000000002</v>
      </c>
      <c r="E12" s="62"/>
      <c r="F12" s="62">
        <f t="shared" si="0"/>
        <v>0.56703070912559428</v>
      </c>
    </row>
    <row r="13" spans="1:6" x14ac:dyDescent="0.2">
      <c r="A13" s="62" t="s">
        <v>164</v>
      </c>
      <c r="B13" s="62" t="s">
        <v>147</v>
      </c>
      <c r="C13" s="62" t="s">
        <v>143</v>
      </c>
      <c r="D13" s="62">
        <v>0.61499999999999999</v>
      </c>
      <c r="E13" s="62"/>
      <c r="F13" s="62">
        <f t="shared" si="0"/>
        <v>0.21112488422458328</v>
      </c>
    </row>
    <row r="14" spans="1:6" x14ac:dyDescent="0.2">
      <c r="A14" s="62" t="s">
        <v>166</v>
      </c>
      <c r="B14" s="62" t="s">
        <v>139</v>
      </c>
      <c r="C14" s="62" t="s">
        <v>142</v>
      </c>
      <c r="D14" s="62">
        <v>0.65200000000000002</v>
      </c>
      <c r="E14" s="62"/>
      <c r="F14" s="62">
        <f t="shared" si="0"/>
        <v>0.18575240426807979</v>
      </c>
    </row>
    <row r="15" spans="1:6" x14ac:dyDescent="0.2">
      <c r="A15" s="62" t="s">
        <v>166</v>
      </c>
      <c r="B15" s="62" t="s">
        <v>139</v>
      </c>
      <c r="C15" s="62" t="s">
        <v>143</v>
      </c>
      <c r="D15" s="62">
        <v>0.59399999999999997</v>
      </c>
      <c r="E15" s="62"/>
      <c r="F15" s="62">
        <f t="shared" si="0"/>
        <v>0.22621355501880647</v>
      </c>
    </row>
    <row r="16" spans="1:6" x14ac:dyDescent="0.2">
      <c r="A16" s="62" t="s">
        <v>166</v>
      </c>
      <c r="B16" s="62" t="s">
        <v>144</v>
      </c>
      <c r="C16" s="62" t="s">
        <v>142</v>
      </c>
      <c r="D16" s="62">
        <v>0.58599999999999997</v>
      </c>
      <c r="E16" s="62"/>
      <c r="F16" s="62">
        <f t="shared" si="0"/>
        <v>0.23210238398190938</v>
      </c>
    </row>
    <row r="17" spans="1:6" x14ac:dyDescent="0.2">
      <c r="A17" s="62" t="s">
        <v>166</v>
      </c>
      <c r="B17" s="62" t="s">
        <v>144</v>
      </c>
      <c r="C17" s="62" t="s">
        <v>143</v>
      </c>
      <c r="D17" s="62">
        <v>0.20499999999999999</v>
      </c>
      <c r="E17" s="62"/>
      <c r="F17" s="62">
        <f t="shared" si="0"/>
        <v>0.68824613894424569</v>
      </c>
    </row>
    <row r="18" spans="1:6" x14ac:dyDescent="0.2">
      <c r="A18" s="62" t="s">
        <v>166</v>
      </c>
      <c r="B18" s="62" t="s">
        <v>145</v>
      </c>
      <c r="C18" s="62" t="s">
        <v>142</v>
      </c>
      <c r="D18" s="62">
        <v>0.92100000000000004</v>
      </c>
      <c r="E18" s="62"/>
      <c r="F18" s="62">
        <f t="shared" si="0"/>
        <v>3.5740369803151061E-2</v>
      </c>
    </row>
    <row r="19" spans="1:6" x14ac:dyDescent="0.2">
      <c r="A19" s="62" t="s">
        <v>166</v>
      </c>
      <c r="B19" s="62" t="s">
        <v>145</v>
      </c>
      <c r="C19" s="62" t="s">
        <v>143</v>
      </c>
      <c r="D19" s="62">
        <v>0.68799999999999994</v>
      </c>
      <c r="E19" s="62"/>
      <c r="F19" s="62">
        <f t="shared" si="0"/>
        <v>0.16241156176448873</v>
      </c>
    </row>
    <row r="20" spans="1:6" x14ac:dyDescent="0.2">
      <c r="A20" s="62" t="s">
        <v>166</v>
      </c>
      <c r="B20" s="62" t="s">
        <v>146</v>
      </c>
      <c r="C20" s="62" t="s">
        <v>142</v>
      </c>
      <c r="D20" s="62">
        <v>0.373</v>
      </c>
      <c r="E20" s="62"/>
      <c r="F20" s="62">
        <f t="shared" si="0"/>
        <v>0.42829116819131241</v>
      </c>
    </row>
    <row r="21" spans="1:6" x14ac:dyDescent="0.2">
      <c r="A21" s="62" t="s">
        <v>166</v>
      </c>
      <c r="B21" s="62" t="s">
        <v>146</v>
      </c>
      <c r="C21" s="62" t="s">
        <v>143</v>
      </c>
      <c r="D21" s="62">
        <v>0.33400000000000002</v>
      </c>
      <c r="E21" s="62"/>
      <c r="F21" s="62">
        <f t="shared" si="0"/>
        <v>0.4762535331884355</v>
      </c>
    </row>
    <row r="22" spans="1:6" x14ac:dyDescent="0.2">
      <c r="A22" s="62" t="s">
        <v>166</v>
      </c>
      <c r="B22" s="62" t="s">
        <v>148</v>
      </c>
      <c r="C22" s="62" t="s">
        <v>142</v>
      </c>
      <c r="D22" s="62">
        <v>0.188</v>
      </c>
      <c r="E22" s="62"/>
      <c r="F22" s="62">
        <f t="shared" si="0"/>
        <v>0.72584215073632019</v>
      </c>
    </row>
    <row r="23" spans="1:6" x14ac:dyDescent="0.2">
      <c r="A23" s="62" t="s">
        <v>166</v>
      </c>
      <c r="B23" s="62" t="s">
        <v>148</v>
      </c>
      <c r="C23" s="62" t="s">
        <v>143</v>
      </c>
      <c r="D23" s="62">
        <v>6.6000000000000003E-2</v>
      </c>
      <c r="E23" s="62" t="s">
        <v>8</v>
      </c>
      <c r="F23" s="62">
        <f t="shared" si="0"/>
        <v>1.1804560644581312</v>
      </c>
    </row>
    <row r="24" spans="1:6" x14ac:dyDescent="0.2">
      <c r="A24" s="62" t="s">
        <v>166</v>
      </c>
      <c r="B24" s="62" t="s">
        <v>147</v>
      </c>
      <c r="C24" s="62" t="s">
        <v>142</v>
      </c>
      <c r="D24" s="62">
        <v>9.1999999999999998E-2</v>
      </c>
      <c r="E24" s="62" t="s">
        <v>8</v>
      </c>
      <c r="F24" s="62">
        <f t="shared" si="0"/>
        <v>1.0362121726544447</v>
      </c>
    </row>
    <row r="25" spans="1:6" x14ac:dyDescent="0.2">
      <c r="A25" s="62" t="s">
        <v>166</v>
      </c>
      <c r="B25" s="62" t="s">
        <v>147</v>
      </c>
      <c r="C25" s="62" t="s">
        <v>143</v>
      </c>
      <c r="D25" s="62">
        <v>0.32700000000000001</v>
      </c>
      <c r="E25" s="62"/>
      <c r="F25" s="62">
        <f t="shared" si="0"/>
        <v>0.48545224733971393</v>
      </c>
    </row>
    <row r="26" spans="1:6" x14ac:dyDescent="0.2">
      <c r="A26" s="62" t="s">
        <v>153</v>
      </c>
      <c r="B26" s="62" t="s">
        <v>139</v>
      </c>
      <c r="C26" s="62" t="s">
        <v>142</v>
      </c>
      <c r="D26" s="62">
        <v>0.115</v>
      </c>
      <c r="E26" s="62"/>
      <c r="F26" s="62">
        <f t="shared" si="0"/>
        <v>0.9393021596463883</v>
      </c>
    </row>
    <row r="27" spans="1:6" x14ac:dyDescent="0.2">
      <c r="A27" s="62" t="s">
        <v>153</v>
      </c>
      <c r="B27" s="62" t="s">
        <v>139</v>
      </c>
      <c r="C27" s="62" t="s">
        <v>143</v>
      </c>
      <c r="D27" s="62">
        <v>5.3999999999999999E-2</v>
      </c>
      <c r="E27" s="62" t="s">
        <v>8</v>
      </c>
      <c r="F27" s="62">
        <f t="shared" si="0"/>
        <v>1.2676062401770316</v>
      </c>
    </row>
    <row r="28" spans="1:6" x14ac:dyDescent="0.2">
      <c r="A28" s="62" t="s">
        <v>153</v>
      </c>
      <c r="B28" s="62" t="s">
        <v>144</v>
      </c>
      <c r="C28" s="62" t="s">
        <v>142</v>
      </c>
      <c r="D28" s="62">
        <v>0.115</v>
      </c>
      <c r="E28" s="62"/>
      <c r="F28" s="62">
        <f t="shared" si="0"/>
        <v>0.9393021596463883</v>
      </c>
    </row>
    <row r="29" spans="1:6" x14ac:dyDescent="0.2">
      <c r="A29" s="62" t="s">
        <v>153</v>
      </c>
      <c r="B29" s="62" t="s">
        <v>144</v>
      </c>
      <c r="C29" s="62" t="s">
        <v>143</v>
      </c>
      <c r="D29" s="62">
        <v>8.0000000000000002E-3</v>
      </c>
      <c r="E29" s="62" t="s">
        <v>51</v>
      </c>
      <c r="F29" s="62">
        <f t="shared" si="0"/>
        <v>2.0969100130080562</v>
      </c>
    </row>
    <row r="30" spans="1:6" x14ac:dyDescent="0.2">
      <c r="A30" s="62" t="s">
        <v>153</v>
      </c>
      <c r="B30" s="62" t="s">
        <v>145</v>
      </c>
      <c r="C30" s="62" t="s">
        <v>142</v>
      </c>
      <c r="D30" s="62">
        <v>0.65600000000000003</v>
      </c>
      <c r="E30" s="62"/>
      <c r="F30" s="62">
        <f t="shared" si="0"/>
        <v>0.1830961606243397</v>
      </c>
    </row>
    <row r="31" spans="1:6" x14ac:dyDescent="0.2">
      <c r="A31" s="62" t="s">
        <v>153</v>
      </c>
      <c r="B31" s="62" t="s">
        <v>145</v>
      </c>
      <c r="C31" s="62" t="s">
        <v>143</v>
      </c>
      <c r="D31" s="62">
        <v>0.871</v>
      </c>
      <c r="E31" s="62"/>
      <c r="F31" s="62">
        <f t="shared" si="0"/>
        <v>5.9981844992336796E-2</v>
      </c>
    </row>
    <row r="32" spans="1:6" x14ac:dyDescent="0.2">
      <c r="A32" s="62" t="s">
        <v>153</v>
      </c>
      <c r="B32" s="62" t="s">
        <v>146</v>
      </c>
      <c r="C32" s="62" t="s">
        <v>142</v>
      </c>
      <c r="D32" s="62">
        <v>0.106</v>
      </c>
      <c r="E32" s="62"/>
      <c r="F32" s="62">
        <f t="shared" si="0"/>
        <v>0.97469413473522981</v>
      </c>
    </row>
    <row r="33" spans="1:6" x14ac:dyDescent="0.2">
      <c r="A33" s="62" t="s">
        <v>153</v>
      </c>
      <c r="B33" s="62" t="s">
        <v>146</v>
      </c>
      <c r="C33" s="62" t="s">
        <v>143</v>
      </c>
      <c r="D33" s="62">
        <v>0.37</v>
      </c>
      <c r="E33" s="62"/>
      <c r="F33" s="62">
        <f t="shared" si="0"/>
        <v>0.43179827593300502</v>
      </c>
    </row>
    <row r="34" spans="1:6" x14ac:dyDescent="0.2">
      <c r="A34" s="62" t="s">
        <v>153</v>
      </c>
      <c r="B34" s="62" t="s">
        <v>148</v>
      </c>
      <c r="C34" s="62" t="s">
        <v>142</v>
      </c>
      <c r="D34" s="62">
        <v>1.6E-2</v>
      </c>
      <c r="E34" s="62" t="s">
        <v>7</v>
      </c>
      <c r="F34" s="62">
        <f t="shared" si="0"/>
        <v>1.7958800173440752</v>
      </c>
    </row>
    <row r="35" spans="1:6" x14ac:dyDescent="0.2">
      <c r="A35" s="62" t="s">
        <v>153</v>
      </c>
      <c r="B35" s="62" t="s">
        <v>148</v>
      </c>
      <c r="C35" s="62" t="s">
        <v>143</v>
      </c>
      <c r="D35" s="62">
        <v>6.0000000000000001E-3</v>
      </c>
      <c r="E35" s="62" t="s">
        <v>51</v>
      </c>
      <c r="F35" s="62">
        <f t="shared" si="0"/>
        <v>2.2218487496163561</v>
      </c>
    </row>
    <row r="36" spans="1:6" x14ac:dyDescent="0.2">
      <c r="A36" s="62" t="s">
        <v>153</v>
      </c>
      <c r="B36" s="62" t="s">
        <v>147</v>
      </c>
      <c r="C36" s="62" t="s">
        <v>142</v>
      </c>
      <c r="D36" s="62">
        <v>8.0000000000000002E-3</v>
      </c>
      <c r="E36" s="62" t="s">
        <v>51</v>
      </c>
      <c r="F36" s="62">
        <f t="shared" si="0"/>
        <v>2.0969100130080562</v>
      </c>
    </row>
    <row r="37" spans="1:6" x14ac:dyDescent="0.2">
      <c r="A37" s="62" t="s">
        <v>153</v>
      </c>
      <c r="B37" s="62" t="s">
        <v>147</v>
      </c>
      <c r="C37" s="62" t="s">
        <v>143</v>
      </c>
      <c r="D37" s="62">
        <v>4.4999999999999998E-2</v>
      </c>
      <c r="E37" s="62" t="s">
        <v>7</v>
      </c>
      <c r="F37" s="62">
        <f t="shared" si="0"/>
        <v>1.3467874862246563</v>
      </c>
    </row>
    <row r="38" spans="1:6" x14ac:dyDescent="0.2">
      <c r="A38" s="62" t="s">
        <v>152</v>
      </c>
      <c r="B38" s="62" t="s">
        <v>139</v>
      </c>
      <c r="C38" s="62" t="s">
        <v>142</v>
      </c>
      <c r="D38" s="62">
        <v>0.08</v>
      </c>
      <c r="E38" s="62" t="s">
        <v>8</v>
      </c>
      <c r="F38" s="62">
        <f t="shared" si="0"/>
        <v>1.0969100130080565</v>
      </c>
    </row>
    <row r="39" spans="1:6" x14ac:dyDescent="0.2">
      <c r="A39" s="62" t="s">
        <v>152</v>
      </c>
      <c r="B39" s="62" t="s">
        <v>139</v>
      </c>
      <c r="C39" s="62" t="s">
        <v>143</v>
      </c>
      <c r="D39" s="62">
        <v>1.7000000000000001E-2</v>
      </c>
      <c r="E39" s="62" t="s">
        <v>7</v>
      </c>
      <c r="F39" s="62">
        <f t="shared" si="0"/>
        <v>1.7695510786217261</v>
      </c>
    </row>
    <row r="40" spans="1:6" x14ac:dyDescent="0.2">
      <c r="A40" s="62" t="s">
        <v>152</v>
      </c>
      <c r="B40" s="62" t="s">
        <v>144</v>
      </c>
      <c r="C40" s="62" t="s">
        <v>142</v>
      </c>
      <c r="D40" s="62">
        <v>0.17199999999999999</v>
      </c>
      <c r="E40" s="62"/>
      <c r="F40" s="62">
        <f t="shared" si="0"/>
        <v>0.76447155309245107</v>
      </c>
    </row>
    <row r="41" spans="1:6" x14ac:dyDescent="0.2">
      <c r="A41" s="62" t="s">
        <v>152</v>
      </c>
      <c r="B41" s="62" t="s">
        <v>144</v>
      </c>
      <c r="C41" s="62" t="s">
        <v>143</v>
      </c>
      <c r="D41" s="62">
        <v>2E-3</v>
      </c>
      <c r="E41" s="62" t="s">
        <v>51</v>
      </c>
      <c r="F41" s="62">
        <f t="shared" si="0"/>
        <v>2.6989700043360187</v>
      </c>
    </row>
    <row r="42" spans="1:6" x14ac:dyDescent="0.2">
      <c r="A42" s="62" t="s">
        <v>152</v>
      </c>
      <c r="B42" s="62" t="s">
        <v>145</v>
      </c>
      <c r="C42" s="62" t="s">
        <v>142</v>
      </c>
      <c r="D42" s="62">
        <v>0.32900000000000001</v>
      </c>
      <c r="E42" s="62"/>
      <c r="F42" s="62">
        <f t="shared" si="0"/>
        <v>0.48280410205002566</v>
      </c>
    </row>
    <row r="43" spans="1:6" x14ac:dyDescent="0.2">
      <c r="A43" s="62" t="s">
        <v>152</v>
      </c>
      <c r="B43" s="62" t="s">
        <v>145</v>
      </c>
      <c r="C43" s="62" t="s">
        <v>143</v>
      </c>
      <c r="D43" s="62">
        <v>0.51900000000000002</v>
      </c>
      <c r="E43" s="62"/>
      <c r="F43" s="62">
        <f t="shared" si="0"/>
        <v>0.28483264215154214</v>
      </c>
    </row>
    <row r="44" spans="1:6" x14ac:dyDescent="0.2">
      <c r="A44" s="62" t="s">
        <v>152</v>
      </c>
      <c r="B44" s="62" t="s">
        <v>146</v>
      </c>
      <c r="C44" s="62" t="s">
        <v>142</v>
      </c>
      <c r="D44" s="62">
        <v>0.129</v>
      </c>
      <c r="E44" s="62"/>
      <c r="F44" s="62">
        <f t="shared" si="0"/>
        <v>0.88941028970075098</v>
      </c>
    </row>
    <row r="45" spans="1:6" x14ac:dyDescent="0.2">
      <c r="A45" s="62" t="s">
        <v>152</v>
      </c>
      <c r="B45" s="62" t="s">
        <v>146</v>
      </c>
      <c r="C45" s="62" t="s">
        <v>143</v>
      </c>
      <c r="D45" s="62">
        <v>0.33200000000000002</v>
      </c>
      <c r="E45" s="62"/>
      <c r="F45" s="62">
        <f t="shared" si="0"/>
        <v>0.4788619162959637</v>
      </c>
    </row>
    <row r="46" spans="1:6" x14ac:dyDescent="0.2">
      <c r="A46" s="62" t="s">
        <v>152</v>
      </c>
      <c r="B46" s="62" t="s">
        <v>148</v>
      </c>
      <c r="C46" s="62" t="s">
        <v>142</v>
      </c>
      <c r="D46" s="62">
        <v>1.2E-2</v>
      </c>
      <c r="E46" s="62" t="s">
        <v>7</v>
      </c>
      <c r="F46" s="62">
        <f t="shared" si="0"/>
        <v>1.9208187539523751</v>
      </c>
    </row>
    <row r="47" spans="1:6" x14ac:dyDescent="0.2">
      <c r="A47" s="62" t="s">
        <v>152</v>
      </c>
      <c r="B47" s="62" t="s">
        <v>148</v>
      </c>
      <c r="C47" s="62" t="s">
        <v>143</v>
      </c>
      <c r="D47" s="62">
        <v>0.01</v>
      </c>
      <c r="E47" s="62" t="s">
        <v>51</v>
      </c>
      <c r="F47" s="62">
        <f t="shared" si="0"/>
        <v>2</v>
      </c>
    </row>
    <row r="48" spans="1:6" x14ac:dyDescent="0.2">
      <c r="A48" s="62" t="s">
        <v>152</v>
      </c>
      <c r="B48" s="62" t="s">
        <v>147</v>
      </c>
      <c r="C48" s="62" t="s">
        <v>142</v>
      </c>
      <c r="D48" s="62">
        <v>2.5000000000000001E-2</v>
      </c>
      <c r="E48" s="62" t="s">
        <v>7</v>
      </c>
      <c r="F48" s="62">
        <f t="shared" si="0"/>
        <v>1.6020599913279623</v>
      </c>
    </row>
    <row r="49" spans="1:6" x14ac:dyDescent="0.2">
      <c r="A49" s="62" t="s">
        <v>152</v>
      </c>
      <c r="B49" s="62" t="s">
        <v>147</v>
      </c>
      <c r="C49" s="62" t="s">
        <v>143</v>
      </c>
      <c r="D49" s="62">
        <v>3.2000000000000001E-2</v>
      </c>
      <c r="E49" s="62" t="s">
        <v>7</v>
      </c>
      <c r="F49" s="62">
        <f>-LOG10(D49)</f>
        <v>1.494850021680094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6B89-5B12-434E-A9DD-646A1F02C11A}">
  <dimension ref="A1:F49"/>
  <sheetViews>
    <sheetView workbookViewId="0">
      <selection activeCell="A14" sqref="A14:A25"/>
    </sheetView>
  </sheetViews>
  <sheetFormatPr baseColWidth="10" defaultRowHeight="16" x14ac:dyDescent="0.2"/>
  <cols>
    <col min="1" max="1" width="22.83203125" bestFit="1" customWidth="1"/>
  </cols>
  <sheetData>
    <row r="1" spans="1:6" x14ac:dyDescent="0.2">
      <c r="A1" s="62" t="s">
        <v>136</v>
      </c>
      <c r="B1" s="62" t="s">
        <v>149</v>
      </c>
      <c r="C1" s="62" t="s">
        <v>141</v>
      </c>
      <c r="D1" s="62" t="s">
        <v>140</v>
      </c>
      <c r="E1" s="62" t="s">
        <v>150</v>
      </c>
      <c r="F1" s="63" t="s">
        <v>151</v>
      </c>
    </row>
    <row r="2" spans="1:6" x14ac:dyDescent="0.2">
      <c r="A2" s="62" t="s">
        <v>165</v>
      </c>
      <c r="B2" s="62" t="s">
        <v>139</v>
      </c>
      <c r="C2" s="62" t="s">
        <v>142</v>
      </c>
      <c r="D2" s="62">
        <v>3.9E-2</v>
      </c>
      <c r="E2" s="62" t="s">
        <v>7</v>
      </c>
      <c r="F2" s="62">
        <f>-LOG10(D2)</f>
        <v>1.4089353929735009</v>
      </c>
    </row>
    <row r="3" spans="1:6" x14ac:dyDescent="0.2">
      <c r="A3" s="62" t="s">
        <v>165</v>
      </c>
      <c r="B3" s="62" t="s">
        <v>139</v>
      </c>
      <c r="C3" s="62" t="s">
        <v>143</v>
      </c>
      <c r="D3" s="62">
        <v>0.19600000000000001</v>
      </c>
      <c r="E3" s="62"/>
      <c r="F3" s="62">
        <f t="shared" ref="F3:F48" si="0">-LOG10(D3)</f>
        <v>0.70774392864352398</v>
      </c>
    </row>
    <row r="4" spans="1:6" x14ac:dyDescent="0.2">
      <c r="A4" s="62" t="s">
        <v>165</v>
      </c>
      <c r="B4" s="62" t="s">
        <v>144</v>
      </c>
      <c r="C4" s="62" t="s">
        <v>142</v>
      </c>
      <c r="D4" s="62">
        <v>2E-3</v>
      </c>
      <c r="E4" s="62" t="s">
        <v>51</v>
      </c>
      <c r="F4" s="62">
        <f t="shared" si="0"/>
        <v>2.6989700043360187</v>
      </c>
    </row>
    <row r="5" spans="1:6" x14ac:dyDescent="0.2">
      <c r="A5" s="62" t="s">
        <v>165</v>
      </c>
      <c r="B5" s="62" t="s">
        <v>144</v>
      </c>
      <c r="C5" s="62" t="s">
        <v>143</v>
      </c>
      <c r="D5" s="62">
        <v>0.04</v>
      </c>
      <c r="E5" s="62" t="s">
        <v>7</v>
      </c>
      <c r="F5" s="62">
        <f t="shared" si="0"/>
        <v>1.3979400086720375</v>
      </c>
    </row>
    <row r="6" spans="1:6" x14ac:dyDescent="0.2">
      <c r="A6" s="62" t="s">
        <v>165</v>
      </c>
      <c r="B6" s="62" t="s">
        <v>145</v>
      </c>
      <c r="C6" s="62" t="s">
        <v>142</v>
      </c>
      <c r="D6" s="62">
        <v>0.24</v>
      </c>
      <c r="E6" s="62"/>
      <c r="F6" s="62">
        <f t="shared" si="0"/>
        <v>0.61978875828839397</v>
      </c>
    </row>
    <row r="7" spans="1:6" x14ac:dyDescent="0.2">
      <c r="A7" s="62" t="s">
        <v>165</v>
      </c>
      <c r="B7" s="62" t="s">
        <v>145</v>
      </c>
      <c r="C7" s="62" t="s">
        <v>143</v>
      </c>
      <c r="D7" s="62">
        <v>0.58599999999999997</v>
      </c>
      <c r="E7" s="62"/>
      <c r="F7" s="62">
        <f t="shared" si="0"/>
        <v>0.23210238398190938</v>
      </c>
    </row>
    <row r="8" spans="1:6" x14ac:dyDescent="0.2">
      <c r="A8" s="62" t="s">
        <v>165</v>
      </c>
      <c r="B8" s="62" t="s">
        <v>146</v>
      </c>
      <c r="C8" s="62" t="s">
        <v>142</v>
      </c>
      <c r="D8" s="62">
        <v>5.5E-2</v>
      </c>
      <c r="E8" s="62" t="s">
        <v>8</v>
      </c>
      <c r="F8" s="62">
        <f t="shared" si="0"/>
        <v>1.2596373105057561</v>
      </c>
    </row>
    <row r="9" spans="1:6" x14ac:dyDescent="0.2">
      <c r="A9" s="62" t="s">
        <v>165</v>
      </c>
      <c r="B9" s="62" t="s">
        <v>146</v>
      </c>
      <c r="C9" s="62" t="s">
        <v>143</v>
      </c>
      <c r="D9" s="62">
        <v>0.17399999999999999</v>
      </c>
      <c r="E9" s="62"/>
      <c r="F9" s="62">
        <f t="shared" si="0"/>
        <v>0.75945075171740029</v>
      </c>
    </row>
    <row r="10" spans="1:6" x14ac:dyDescent="0.2">
      <c r="A10" s="62" t="s">
        <v>165</v>
      </c>
      <c r="B10" s="62" t="s">
        <v>148</v>
      </c>
      <c r="C10" s="62" t="s">
        <v>142</v>
      </c>
      <c r="D10" s="62">
        <v>2E-3</v>
      </c>
      <c r="E10" s="62" t="s">
        <v>51</v>
      </c>
      <c r="F10" s="62">
        <f t="shared" si="0"/>
        <v>2.6989700043360187</v>
      </c>
    </row>
    <row r="11" spans="1:6" x14ac:dyDescent="0.2">
      <c r="A11" s="62" t="s">
        <v>165</v>
      </c>
      <c r="B11" s="62" t="s">
        <v>148</v>
      </c>
      <c r="C11" s="62" t="s">
        <v>143</v>
      </c>
      <c r="D11" s="62">
        <v>0.05</v>
      </c>
      <c r="E11" s="62" t="s">
        <v>8</v>
      </c>
      <c r="F11" s="62">
        <f t="shared" si="0"/>
        <v>1.3010299956639813</v>
      </c>
    </row>
    <row r="12" spans="1:6" x14ac:dyDescent="0.2">
      <c r="A12" s="62" t="s">
        <v>165</v>
      </c>
      <c r="B12" s="62" t="s">
        <v>147</v>
      </c>
      <c r="C12" s="62" t="s">
        <v>142</v>
      </c>
      <c r="D12" s="62">
        <v>6.5000000000000002E-2</v>
      </c>
      <c r="E12" s="62" t="s">
        <v>8</v>
      </c>
      <c r="F12" s="62">
        <f t="shared" si="0"/>
        <v>1.1870866433571443</v>
      </c>
    </row>
    <row r="13" spans="1:6" x14ac:dyDescent="0.2">
      <c r="A13" s="62" t="s">
        <v>165</v>
      </c>
      <c r="B13" s="62" t="s">
        <v>147</v>
      </c>
      <c r="C13" s="62" t="s">
        <v>143</v>
      </c>
      <c r="D13" s="62">
        <v>0.28999999999999998</v>
      </c>
      <c r="E13" s="62"/>
      <c r="F13" s="62">
        <f t="shared" si="0"/>
        <v>0.53760200210104392</v>
      </c>
    </row>
    <row r="14" spans="1:6" x14ac:dyDescent="0.2">
      <c r="A14" s="62" t="s">
        <v>166</v>
      </c>
      <c r="B14" s="62" t="s">
        <v>139</v>
      </c>
      <c r="C14" s="62" t="s">
        <v>142</v>
      </c>
      <c r="D14" s="62">
        <v>4.5999999999999999E-2</v>
      </c>
      <c r="E14" s="62" t="s">
        <v>7</v>
      </c>
      <c r="F14" s="62">
        <f t="shared" si="0"/>
        <v>1.3372421683184259</v>
      </c>
    </row>
    <row r="15" spans="1:6" x14ac:dyDescent="0.2">
      <c r="A15" s="62" t="s">
        <v>166</v>
      </c>
      <c r="B15" s="62" t="s">
        <v>139</v>
      </c>
      <c r="C15" s="62" t="s">
        <v>143</v>
      </c>
      <c r="D15" s="62">
        <v>0.37</v>
      </c>
      <c r="E15" s="62"/>
      <c r="F15" s="62">
        <f t="shared" si="0"/>
        <v>0.43179827593300502</v>
      </c>
    </row>
    <row r="16" spans="1:6" x14ac:dyDescent="0.2">
      <c r="A16" s="62" t="s">
        <v>166</v>
      </c>
      <c r="B16" s="62" t="s">
        <v>144</v>
      </c>
      <c r="C16" s="62" t="s">
        <v>142</v>
      </c>
      <c r="D16" s="62">
        <v>2E-3</v>
      </c>
      <c r="E16" s="62" t="s">
        <v>51</v>
      </c>
      <c r="F16" s="62">
        <f t="shared" si="0"/>
        <v>2.6989700043360187</v>
      </c>
    </row>
    <row r="17" spans="1:6" x14ac:dyDescent="0.2">
      <c r="A17" s="62" t="s">
        <v>166</v>
      </c>
      <c r="B17" s="62" t="s">
        <v>144</v>
      </c>
      <c r="C17" s="62" t="s">
        <v>143</v>
      </c>
      <c r="D17" s="62">
        <v>2.5999999999999999E-2</v>
      </c>
      <c r="E17" s="62" t="s">
        <v>7</v>
      </c>
      <c r="F17" s="62">
        <f t="shared" si="0"/>
        <v>1.585026652029182</v>
      </c>
    </row>
    <row r="18" spans="1:6" x14ac:dyDescent="0.2">
      <c r="A18" s="62" t="s">
        <v>166</v>
      </c>
      <c r="B18" s="62" t="s">
        <v>145</v>
      </c>
      <c r="C18" s="62" t="s">
        <v>142</v>
      </c>
      <c r="D18" s="62">
        <v>5.2999999999999999E-2</v>
      </c>
      <c r="E18" s="62" t="s">
        <v>8</v>
      </c>
      <c r="F18" s="62">
        <f t="shared" si="0"/>
        <v>1.2757241303992111</v>
      </c>
    </row>
    <row r="19" spans="1:6" x14ac:dyDescent="0.2">
      <c r="A19" s="62" t="s">
        <v>166</v>
      </c>
      <c r="B19" s="62" t="s">
        <v>145</v>
      </c>
      <c r="C19" s="62" t="s">
        <v>143</v>
      </c>
      <c r="D19" s="62">
        <v>0.48899999999999999</v>
      </c>
      <c r="E19" s="62"/>
      <c r="F19" s="62">
        <f t="shared" si="0"/>
        <v>0.31069114087637978</v>
      </c>
    </row>
    <row r="20" spans="1:6" x14ac:dyDescent="0.2">
      <c r="A20" s="62" t="s">
        <v>166</v>
      </c>
      <c r="B20" s="62" t="s">
        <v>146</v>
      </c>
      <c r="C20" s="62" t="s">
        <v>142</v>
      </c>
      <c r="D20" s="62">
        <v>3.6999999999999998E-2</v>
      </c>
      <c r="E20" s="62" t="s">
        <v>7</v>
      </c>
      <c r="F20" s="62">
        <f t="shared" si="0"/>
        <v>1.431798275933005</v>
      </c>
    </row>
    <row r="21" spans="1:6" x14ac:dyDescent="0.2">
      <c r="A21" s="62" t="s">
        <v>166</v>
      </c>
      <c r="B21" s="62" t="s">
        <v>146</v>
      </c>
      <c r="C21" s="62" t="s">
        <v>143</v>
      </c>
      <c r="D21" s="62">
        <v>0.31900000000000001</v>
      </c>
      <c r="E21" s="62"/>
      <c r="F21" s="62">
        <f t="shared" si="0"/>
        <v>0.49620931694281889</v>
      </c>
    </row>
    <row r="22" spans="1:6" x14ac:dyDescent="0.2">
      <c r="A22" s="62" t="s">
        <v>166</v>
      </c>
      <c r="B22" s="62" t="s">
        <v>148</v>
      </c>
      <c r="C22" s="62" t="s">
        <v>142</v>
      </c>
      <c r="D22" s="62">
        <v>3.0000000000000001E-3</v>
      </c>
      <c r="E22" s="62" t="s">
        <v>51</v>
      </c>
      <c r="F22" s="62">
        <f t="shared" si="0"/>
        <v>2.5228787452803374</v>
      </c>
    </row>
    <row r="23" spans="1:6" x14ac:dyDescent="0.2">
      <c r="A23" s="62" t="s">
        <v>166</v>
      </c>
      <c r="B23" s="62" t="s">
        <v>148</v>
      </c>
      <c r="C23" s="62" t="s">
        <v>143</v>
      </c>
      <c r="D23" s="62">
        <v>9.7000000000000003E-2</v>
      </c>
      <c r="E23" s="62" t="s">
        <v>8</v>
      </c>
      <c r="F23" s="62">
        <f t="shared" si="0"/>
        <v>1.0132282657337552</v>
      </c>
    </row>
    <row r="24" spans="1:6" x14ac:dyDescent="0.2">
      <c r="A24" s="62" t="s">
        <v>166</v>
      </c>
      <c r="B24" s="62" t="s">
        <v>147</v>
      </c>
      <c r="C24" s="62" t="s">
        <v>142</v>
      </c>
      <c r="D24" s="62">
        <v>8.0000000000000002E-3</v>
      </c>
      <c r="E24" s="62" t="s">
        <v>51</v>
      </c>
      <c r="F24" s="62">
        <f t="shared" si="0"/>
        <v>2.0969100130080562</v>
      </c>
    </row>
    <row r="25" spans="1:6" x14ac:dyDescent="0.2">
      <c r="A25" s="62" t="s">
        <v>166</v>
      </c>
      <c r="B25" s="62" t="s">
        <v>147</v>
      </c>
      <c r="C25" s="62" t="s">
        <v>143</v>
      </c>
      <c r="D25" s="62">
        <v>0.32800000000000001</v>
      </c>
      <c r="E25" s="62"/>
      <c r="F25" s="62">
        <f t="shared" si="0"/>
        <v>0.4841261562883209</v>
      </c>
    </row>
    <row r="26" spans="1:6" x14ac:dyDescent="0.2">
      <c r="A26" s="62" t="s">
        <v>153</v>
      </c>
      <c r="B26" s="62" t="s">
        <v>139</v>
      </c>
      <c r="C26" s="62" t="s">
        <v>142</v>
      </c>
      <c r="D26" s="62">
        <v>0.156</v>
      </c>
      <c r="E26" s="62"/>
      <c r="F26" s="62">
        <f t="shared" si="0"/>
        <v>0.80687540164553839</v>
      </c>
    </row>
    <row r="27" spans="1:6" x14ac:dyDescent="0.2">
      <c r="A27" s="62" t="s">
        <v>153</v>
      </c>
      <c r="B27" s="62" t="s">
        <v>139</v>
      </c>
      <c r="C27" s="62" t="s">
        <v>143</v>
      </c>
      <c r="D27" s="62">
        <v>0.55200000000000005</v>
      </c>
      <c r="E27" s="62"/>
      <c r="F27" s="62">
        <f t="shared" si="0"/>
        <v>0.25806092227080107</v>
      </c>
    </row>
    <row r="28" spans="1:6" x14ac:dyDescent="0.2">
      <c r="A28" s="62" t="s">
        <v>153</v>
      </c>
      <c r="B28" s="62" t="s">
        <v>144</v>
      </c>
      <c r="C28" s="62" t="s">
        <v>142</v>
      </c>
      <c r="D28" s="62">
        <v>1.2999999999999999E-2</v>
      </c>
      <c r="E28" s="62" t="s">
        <v>7</v>
      </c>
      <c r="F28" s="62">
        <f t="shared" si="0"/>
        <v>1.8860566476931633</v>
      </c>
    </row>
    <row r="29" spans="1:6" x14ac:dyDescent="0.2">
      <c r="A29" s="62" t="s">
        <v>153</v>
      </c>
      <c r="B29" s="62" t="s">
        <v>144</v>
      </c>
      <c r="C29" s="62" t="s">
        <v>143</v>
      </c>
      <c r="D29" s="62">
        <v>8.8999999999999996E-2</v>
      </c>
      <c r="E29" s="62" t="s">
        <v>8</v>
      </c>
      <c r="F29" s="62">
        <f t="shared" si="0"/>
        <v>1.0506099933550872</v>
      </c>
    </row>
    <row r="30" spans="1:6" x14ac:dyDescent="0.2">
      <c r="A30" s="62" t="s">
        <v>153</v>
      </c>
      <c r="B30" s="62" t="s">
        <v>145</v>
      </c>
      <c r="C30" s="62" t="s">
        <v>142</v>
      </c>
      <c r="D30" s="62">
        <v>0.33900000000000002</v>
      </c>
      <c r="E30" s="62"/>
      <c r="F30" s="62">
        <f t="shared" si="0"/>
        <v>0.46980030179691779</v>
      </c>
    </row>
    <row r="31" spans="1:6" x14ac:dyDescent="0.2">
      <c r="A31" s="62" t="s">
        <v>153</v>
      </c>
      <c r="B31" s="62" t="s">
        <v>145</v>
      </c>
      <c r="C31" s="62" t="s">
        <v>143</v>
      </c>
      <c r="D31" s="62">
        <v>0.81699999999999995</v>
      </c>
      <c r="E31" s="62"/>
      <c r="F31" s="62">
        <f t="shared" si="0"/>
        <v>8.7777943467584538E-2</v>
      </c>
    </row>
    <row r="32" spans="1:6" x14ac:dyDescent="0.2">
      <c r="A32" s="62" t="s">
        <v>153</v>
      </c>
      <c r="B32" s="62" t="s">
        <v>146</v>
      </c>
      <c r="C32" s="62" t="s">
        <v>142</v>
      </c>
      <c r="D32" s="62">
        <v>0.25600000000000001</v>
      </c>
      <c r="E32" s="62"/>
      <c r="F32" s="62">
        <f t="shared" si="0"/>
        <v>0.59176003468815042</v>
      </c>
    </row>
    <row r="33" spans="1:6" x14ac:dyDescent="0.2">
      <c r="A33" s="62" t="s">
        <v>153</v>
      </c>
      <c r="B33" s="62" t="s">
        <v>146</v>
      </c>
      <c r="C33" s="62" t="s">
        <v>143</v>
      </c>
      <c r="D33" s="62">
        <v>0.58499999999999996</v>
      </c>
      <c r="E33" s="62"/>
      <c r="F33" s="62">
        <f t="shared" si="0"/>
        <v>0.23284413391781958</v>
      </c>
    </row>
    <row r="34" spans="1:6" x14ac:dyDescent="0.2">
      <c r="A34" s="62" t="s">
        <v>153</v>
      </c>
      <c r="B34" s="62" t="s">
        <v>148</v>
      </c>
      <c r="C34" s="62" t="s">
        <v>142</v>
      </c>
      <c r="D34" s="62">
        <v>4.0000000000000001E-3</v>
      </c>
      <c r="E34" s="62" t="s">
        <v>51</v>
      </c>
      <c r="F34" s="62">
        <f t="shared" si="0"/>
        <v>2.3979400086720375</v>
      </c>
    </row>
    <row r="35" spans="1:6" x14ac:dyDescent="0.2">
      <c r="A35" s="62" t="s">
        <v>153</v>
      </c>
      <c r="B35" s="62" t="s">
        <v>148</v>
      </c>
      <c r="C35" s="62" t="s">
        <v>143</v>
      </c>
      <c r="D35" s="62">
        <v>0.27</v>
      </c>
      <c r="E35" s="62"/>
      <c r="F35" s="62">
        <f t="shared" si="0"/>
        <v>0.56863623584101264</v>
      </c>
    </row>
    <row r="36" spans="1:6" x14ac:dyDescent="0.2">
      <c r="A36" s="62" t="s">
        <v>153</v>
      </c>
      <c r="B36" s="62" t="s">
        <v>147</v>
      </c>
      <c r="C36" s="62" t="s">
        <v>142</v>
      </c>
      <c r="D36" s="62">
        <v>6.9000000000000006E-2</v>
      </c>
      <c r="E36" s="62" t="s">
        <v>8</v>
      </c>
      <c r="F36" s="62">
        <f t="shared" si="0"/>
        <v>1.1611509092627446</v>
      </c>
    </row>
    <row r="37" spans="1:6" x14ac:dyDescent="0.2">
      <c r="A37" s="62" t="s">
        <v>153</v>
      </c>
      <c r="B37" s="62" t="s">
        <v>147</v>
      </c>
      <c r="C37" s="62" t="s">
        <v>143</v>
      </c>
      <c r="D37" s="62">
        <v>0.50600000000000001</v>
      </c>
      <c r="E37" s="62"/>
      <c r="F37" s="62">
        <f t="shared" si="0"/>
        <v>0.29584948316020088</v>
      </c>
    </row>
    <row r="38" spans="1:6" x14ac:dyDescent="0.2">
      <c r="A38" s="62" t="s">
        <v>152</v>
      </c>
      <c r="B38" s="62" t="s">
        <v>139</v>
      </c>
      <c r="C38" s="62" t="s">
        <v>142</v>
      </c>
      <c r="D38" s="62">
        <v>0.24</v>
      </c>
      <c r="E38" s="62"/>
      <c r="F38" s="62">
        <f t="shared" si="0"/>
        <v>0.61978875828839397</v>
      </c>
    </row>
    <row r="39" spans="1:6" x14ac:dyDescent="0.2">
      <c r="A39" s="62" t="s">
        <v>152</v>
      </c>
      <c r="B39" s="62" t="s">
        <v>139</v>
      </c>
      <c r="C39" s="62" t="s">
        <v>143</v>
      </c>
      <c r="D39" s="62">
        <v>0.72599999999999998</v>
      </c>
      <c r="E39" s="62"/>
      <c r="F39" s="62">
        <f t="shared" si="0"/>
        <v>0.13906337929990631</v>
      </c>
    </row>
    <row r="40" spans="1:6" x14ac:dyDescent="0.2">
      <c r="A40" s="62" t="s">
        <v>152</v>
      </c>
      <c r="B40" s="62" t="s">
        <v>144</v>
      </c>
      <c r="C40" s="62" t="s">
        <v>142</v>
      </c>
      <c r="D40" s="62">
        <v>1.2E-2</v>
      </c>
      <c r="E40" s="62" t="s">
        <v>7</v>
      </c>
      <c r="F40" s="62">
        <f t="shared" si="0"/>
        <v>1.9208187539523751</v>
      </c>
    </row>
    <row r="41" spans="1:6" x14ac:dyDescent="0.2">
      <c r="A41" s="62" t="s">
        <v>152</v>
      </c>
      <c r="B41" s="62" t="s">
        <v>144</v>
      </c>
      <c r="C41" s="62" t="s">
        <v>143</v>
      </c>
      <c r="D41" s="62">
        <v>4.5999999999999999E-2</v>
      </c>
      <c r="E41" s="62" t="s">
        <v>7</v>
      </c>
      <c r="F41" s="62">
        <f t="shared" si="0"/>
        <v>1.3372421683184259</v>
      </c>
    </row>
    <row r="42" spans="1:6" x14ac:dyDescent="0.2">
      <c r="A42" s="62" t="s">
        <v>152</v>
      </c>
      <c r="B42" s="62" t="s">
        <v>145</v>
      </c>
      <c r="C42" s="62" t="s">
        <v>142</v>
      </c>
      <c r="D42" s="62">
        <v>0.16700000000000001</v>
      </c>
      <c r="E42" s="62"/>
      <c r="F42" s="62">
        <f t="shared" si="0"/>
        <v>0.77728352885241669</v>
      </c>
    </row>
    <row r="43" spans="1:6" x14ac:dyDescent="0.2">
      <c r="A43" s="62" t="s">
        <v>152</v>
      </c>
      <c r="B43" s="62" t="s">
        <v>145</v>
      </c>
      <c r="C43" s="62" t="s">
        <v>143</v>
      </c>
      <c r="D43" s="62">
        <v>0.68700000000000006</v>
      </c>
      <c r="E43" s="62"/>
      <c r="F43" s="62">
        <f t="shared" si="0"/>
        <v>0.16304326294044955</v>
      </c>
    </row>
    <row r="44" spans="1:6" x14ac:dyDescent="0.2">
      <c r="A44" s="62" t="s">
        <v>152</v>
      </c>
      <c r="B44" s="62" t="s">
        <v>146</v>
      </c>
      <c r="C44" s="62" t="s">
        <v>142</v>
      </c>
      <c r="D44" s="62">
        <v>0.224</v>
      </c>
      <c r="E44" s="62"/>
      <c r="F44" s="62">
        <f t="shared" si="0"/>
        <v>0.64975198166583714</v>
      </c>
    </row>
    <row r="45" spans="1:6" x14ac:dyDescent="0.2">
      <c r="A45" s="62" t="s">
        <v>152</v>
      </c>
      <c r="B45" s="62" t="s">
        <v>146</v>
      </c>
      <c r="C45" s="62" t="s">
        <v>143</v>
      </c>
      <c r="D45" s="62">
        <v>0.52300000000000002</v>
      </c>
      <c r="E45" s="62"/>
      <c r="F45" s="62">
        <f t="shared" si="0"/>
        <v>0.28149831113272572</v>
      </c>
    </row>
    <row r="46" spans="1:6" x14ac:dyDescent="0.2">
      <c r="A46" s="62" t="s">
        <v>152</v>
      </c>
      <c r="B46" s="62" t="s">
        <v>148</v>
      </c>
      <c r="C46" s="62" t="s">
        <v>142</v>
      </c>
      <c r="D46" s="62">
        <v>3.0000000000000001E-3</v>
      </c>
      <c r="E46" s="62" t="s">
        <v>51</v>
      </c>
      <c r="F46" s="62">
        <f t="shared" si="0"/>
        <v>2.5228787452803374</v>
      </c>
    </row>
    <row r="47" spans="1:6" x14ac:dyDescent="0.2">
      <c r="A47" s="62" t="s">
        <v>152</v>
      </c>
      <c r="B47" s="62" t="s">
        <v>148</v>
      </c>
      <c r="C47" s="62" t="s">
        <v>143</v>
      </c>
      <c r="D47" s="62">
        <v>0.42299999999999999</v>
      </c>
      <c r="E47" s="62"/>
      <c r="F47" s="62">
        <f t="shared" si="0"/>
        <v>0.37365963262495766</v>
      </c>
    </row>
    <row r="48" spans="1:6" x14ac:dyDescent="0.2">
      <c r="A48" s="62" t="s">
        <v>152</v>
      </c>
      <c r="B48" s="62" t="s">
        <v>147</v>
      </c>
      <c r="C48" s="62" t="s">
        <v>142</v>
      </c>
      <c r="D48" s="62">
        <v>8.2000000000000003E-2</v>
      </c>
      <c r="E48" s="62" t="s">
        <v>8</v>
      </c>
      <c r="F48" s="62">
        <f t="shared" si="0"/>
        <v>1.0861861476162833</v>
      </c>
    </row>
    <row r="49" spans="1:6" x14ac:dyDescent="0.2">
      <c r="A49" s="62" t="s">
        <v>152</v>
      </c>
      <c r="B49" s="62" t="s">
        <v>147</v>
      </c>
      <c r="C49" s="62" t="s">
        <v>143</v>
      </c>
      <c r="D49" s="62">
        <v>0.55400000000000005</v>
      </c>
      <c r="E49" s="62"/>
      <c r="F49" s="62">
        <f>-LOG10(D49)</f>
        <v>0.25649023527157022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EA0C-4F81-214D-9963-BF37943370E8}">
  <dimension ref="A1:G109"/>
  <sheetViews>
    <sheetView workbookViewId="0">
      <selection activeCell="F1" sqref="F1:F1048576"/>
    </sheetView>
  </sheetViews>
  <sheetFormatPr baseColWidth="10" defaultRowHeight="16" x14ac:dyDescent="0.2"/>
  <cols>
    <col min="1" max="1" width="27.6640625" style="68" bestFit="1" customWidth="1"/>
    <col min="3" max="3" width="11.1640625" bestFit="1" customWidth="1"/>
    <col min="4" max="4" width="15.1640625" bestFit="1" customWidth="1"/>
    <col min="5" max="5" width="14.6640625" bestFit="1" customWidth="1"/>
  </cols>
  <sheetData>
    <row r="1" spans="1:7" x14ac:dyDescent="0.2">
      <c r="A1" s="66" t="s">
        <v>0</v>
      </c>
      <c r="B1" s="62" t="s">
        <v>141</v>
      </c>
      <c r="C1" s="62" t="s">
        <v>154</v>
      </c>
      <c r="D1" s="62" t="s">
        <v>140</v>
      </c>
      <c r="E1" s="63" t="s">
        <v>151</v>
      </c>
      <c r="F1" s="62" t="s">
        <v>228</v>
      </c>
    </row>
    <row r="2" spans="1:7" x14ac:dyDescent="0.2">
      <c r="A2" s="64" t="s">
        <v>99</v>
      </c>
      <c r="B2" s="62" t="s">
        <v>142</v>
      </c>
      <c r="C2" s="62" t="s">
        <v>99</v>
      </c>
      <c r="D2" s="62">
        <v>1E-3</v>
      </c>
      <c r="E2" s="62">
        <f>-LOG10(D2)</f>
        <v>3</v>
      </c>
      <c r="F2" s="62">
        <v>2.7000000000000001E-3</v>
      </c>
      <c r="G2" s="62">
        <f>-LOG10(F2)</f>
        <v>2.5686362358410126</v>
      </c>
    </row>
    <row r="3" spans="1:7" x14ac:dyDescent="0.2">
      <c r="A3" s="66" t="s">
        <v>12</v>
      </c>
      <c r="B3" s="62" t="s">
        <v>142</v>
      </c>
      <c r="C3" s="62" t="s">
        <v>155</v>
      </c>
      <c r="D3" s="62">
        <v>0.99299999999999999</v>
      </c>
      <c r="E3" s="62">
        <f t="shared" ref="E3:E66" si="0">-LOG10(D3)</f>
        <v>3.0507515046188267E-3</v>
      </c>
      <c r="F3" s="62">
        <v>1</v>
      </c>
      <c r="G3" s="62">
        <f t="shared" ref="G3:G55" si="1">-LOG10(F3)</f>
        <v>0</v>
      </c>
    </row>
    <row r="4" spans="1:7" x14ac:dyDescent="0.2">
      <c r="A4" s="66" t="s">
        <v>13</v>
      </c>
      <c r="B4" s="62" t="s">
        <v>142</v>
      </c>
      <c r="C4" s="62" t="s">
        <v>155</v>
      </c>
      <c r="D4" s="62">
        <v>0.98</v>
      </c>
      <c r="E4" s="62">
        <f t="shared" si="0"/>
        <v>8.7739243075051505E-3</v>
      </c>
      <c r="F4" s="62">
        <v>1</v>
      </c>
      <c r="G4" s="62">
        <f t="shared" si="1"/>
        <v>0</v>
      </c>
    </row>
    <row r="5" spans="1:7" x14ac:dyDescent="0.2">
      <c r="A5" s="66" t="s">
        <v>18</v>
      </c>
      <c r="B5" s="62" t="s">
        <v>142</v>
      </c>
      <c r="C5" s="62" t="s">
        <v>155</v>
      </c>
      <c r="D5" s="62">
        <v>0.63600000000000001</v>
      </c>
      <c r="E5" s="62">
        <f t="shared" si="0"/>
        <v>0.19654288435158612</v>
      </c>
      <c r="F5" s="62">
        <v>0.78054545500000005</v>
      </c>
      <c r="G5" s="62">
        <f t="shared" si="1"/>
        <v>0.10760180076189652</v>
      </c>
    </row>
    <row r="6" spans="1:7" x14ac:dyDescent="0.2">
      <c r="A6" s="66" t="s">
        <v>33</v>
      </c>
      <c r="B6" s="62" t="s">
        <v>142</v>
      </c>
      <c r="C6" s="62" t="s">
        <v>155</v>
      </c>
      <c r="D6" s="62">
        <v>0.70699999999999996</v>
      </c>
      <c r="E6" s="62">
        <f t="shared" si="0"/>
        <v>0.15058058620310061</v>
      </c>
      <c r="F6" s="62">
        <v>0.81229787200000003</v>
      </c>
      <c r="G6" s="62">
        <f t="shared" si="1"/>
        <v>9.0284684497857801E-2</v>
      </c>
    </row>
    <row r="7" spans="1:7" x14ac:dyDescent="0.2">
      <c r="A7" s="66" t="s">
        <v>30</v>
      </c>
      <c r="B7" s="62" t="s">
        <v>142</v>
      </c>
      <c r="C7" s="62" t="s">
        <v>155</v>
      </c>
      <c r="D7" s="62">
        <v>0.93100000000000005</v>
      </c>
      <c r="E7" s="62">
        <f t="shared" si="0"/>
        <v>3.1050319018657353E-2</v>
      </c>
      <c r="F7" s="62">
        <v>0.98576470599999999</v>
      </c>
      <c r="G7" s="62">
        <f t="shared" si="1"/>
        <v>6.2267352417939379E-3</v>
      </c>
    </row>
    <row r="8" spans="1:7" x14ac:dyDescent="0.2">
      <c r="A8" s="66" t="s">
        <v>100</v>
      </c>
      <c r="B8" s="62" t="s">
        <v>142</v>
      </c>
      <c r="C8" s="62" t="s">
        <v>155</v>
      </c>
      <c r="D8" s="62">
        <v>4.0000000000000001E-3</v>
      </c>
      <c r="E8" s="62">
        <f t="shared" si="0"/>
        <v>2.3979400086720375</v>
      </c>
      <c r="F8" s="62">
        <v>8.6400000000000001E-3</v>
      </c>
      <c r="G8" s="62">
        <f t="shared" si="1"/>
        <v>2.0634862575211068</v>
      </c>
    </row>
    <row r="9" spans="1:7" x14ac:dyDescent="0.2">
      <c r="A9" s="66" t="s">
        <v>23</v>
      </c>
      <c r="B9" s="62" t="s">
        <v>142</v>
      </c>
      <c r="C9" s="62" t="s">
        <v>158</v>
      </c>
      <c r="D9" s="62">
        <v>0.40500000000000003</v>
      </c>
      <c r="E9" s="62">
        <f t="shared" si="0"/>
        <v>0.3925449767853314</v>
      </c>
      <c r="F9" s="62">
        <v>0.52071428600000003</v>
      </c>
      <c r="G9" s="62">
        <f t="shared" si="1"/>
        <v>0.28340050712196735</v>
      </c>
    </row>
    <row r="10" spans="1:7" x14ac:dyDescent="0.2">
      <c r="A10" s="66" t="s">
        <v>128</v>
      </c>
      <c r="B10" s="62" t="s">
        <v>142</v>
      </c>
      <c r="C10" s="62" t="s">
        <v>158</v>
      </c>
      <c r="D10" s="62">
        <v>3.0000000000000001E-3</v>
      </c>
      <c r="E10" s="62">
        <f t="shared" si="0"/>
        <v>2.5228787452803374</v>
      </c>
      <c r="F10" s="62">
        <v>7.0434779999999997E-3</v>
      </c>
      <c r="G10" s="62">
        <f t="shared" si="1"/>
        <v>2.1522128375599432</v>
      </c>
    </row>
    <row r="11" spans="1:7" x14ac:dyDescent="0.2">
      <c r="A11" s="66" t="s">
        <v>29</v>
      </c>
      <c r="B11" s="62" t="s">
        <v>142</v>
      </c>
      <c r="C11" s="62" t="s">
        <v>158</v>
      </c>
      <c r="D11" s="62">
        <v>0.47</v>
      </c>
      <c r="E11" s="62">
        <f t="shared" si="0"/>
        <v>0.32790214206428259</v>
      </c>
      <c r="F11" s="62">
        <v>0.59023255799999996</v>
      </c>
      <c r="G11" s="62">
        <f t="shared" si="1"/>
        <v>0.22897683792357068</v>
      </c>
    </row>
    <row r="12" spans="1:7" x14ac:dyDescent="0.2">
      <c r="A12" s="66" t="s">
        <v>28</v>
      </c>
      <c r="B12" s="62" t="s">
        <v>142</v>
      </c>
      <c r="C12" s="62" t="s">
        <v>158</v>
      </c>
      <c r="D12" s="62">
        <v>0.20699999999999999</v>
      </c>
      <c r="E12" s="62">
        <f t="shared" si="0"/>
        <v>0.68402965454308229</v>
      </c>
      <c r="F12" s="62">
        <v>0.27263414600000002</v>
      </c>
      <c r="G12" s="62">
        <f t="shared" si="1"/>
        <v>0.5644197519837858</v>
      </c>
    </row>
    <row r="13" spans="1:7" x14ac:dyDescent="0.2">
      <c r="A13" s="66" t="s">
        <v>25</v>
      </c>
      <c r="B13" s="62" t="s">
        <v>142</v>
      </c>
      <c r="C13" s="62" t="s">
        <v>158</v>
      </c>
      <c r="D13" s="62">
        <v>6.6000000000000003E-2</v>
      </c>
      <c r="E13" s="62">
        <f t="shared" si="0"/>
        <v>1.1804560644581312</v>
      </c>
      <c r="F13" s="62">
        <v>0.104823529</v>
      </c>
      <c r="G13" s="62">
        <f t="shared" si="1"/>
        <v>0.97954122338340077</v>
      </c>
    </row>
    <row r="14" spans="1:7" x14ac:dyDescent="0.2">
      <c r="A14" s="66" t="s">
        <v>24</v>
      </c>
      <c r="B14" s="62" t="s">
        <v>142</v>
      </c>
      <c r="C14" s="62" t="s">
        <v>158</v>
      </c>
      <c r="D14" s="62">
        <v>0.188</v>
      </c>
      <c r="E14" s="62">
        <f t="shared" si="0"/>
        <v>0.72584215073632019</v>
      </c>
      <c r="F14" s="62">
        <v>0.25380000000000003</v>
      </c>
      <c r="G14" s="62">
        <f t="shared" si="1"/>
        <v>0.59550838224131397</v>
      </c>
    </row>
    <row r="15" spans="1:7" x14ac:dyDescent="0.2">
      <c r="A15" s="66" t="s">
        <v>38</v>
      </c>
      <c r="B15" s="62" t="s">
        <v>142</v>
      </c>
      <c r="C15" s="62" t="s">
        <v>158</v>
      </c>
      <c r="D15" s="62">
        <v>0.68899999999999995</v>
      </c>
      <c r="E15" s="62">
        <f t="shared" si="0"/>
        <v>0.16178077809237421</v>
      </c>
      <c r="F15" s="62">
        <v>0.81229787200000003</v>
      </c>
      <c r="G15" s="62">
        <f t="shared" si="1"/>
        <v>9.0284684497857801E-2</v>
      </c>
    </row>
    <row r="16" spans="1:7" x14ac:dyDescent="0.2">
      <c r="A16" s="66" t="s">
        <v>39</v>
      </c>
      <c r="B16" s="62" t="s">
        <v>142</v>
      </c>
      <c r="C16" s="62" t="s">
        <v>158</v>
      </c>
      <c r="D16" s="62">
        <v>0.03</v>
      </c>
      <c r="E16" s="62">
        <f t="shared" si="0"/>
        <v>1.5228787452803376</v>
      </c>
      <c r="F16" s="62">
        <v>5.0625000000000003E-2</v>
      </c>
      <c r="G16" s="62">
        <f t="shared" si="1"/>
        <v>1.2956349637772751</v>
      </c>
    </row>
    <row r="17" spans="1:7" x14ac:dyDescent="0.2">
      <c r="A17" s="66" t="s">
        <v>126</v>
      </c>
      <c r="B17" s="62" t="s">
        <v>142</v>
      </c>
      <c r="C17" s="62" t="s">
        <v>158</v>
      </c>
      <c r="D17" s="62">
        <v>0.84699999999999998</v>
      </c>
      <c r="E17" s="62">
        <f t="shared" si="0"/>
        <v>7.2116589669293102E-2</v>
      </c>
      <c r="F17" s="62">
        <v>0.91476000000000002</v>
      </c>
      <c r="G17" s="62">
        <f t="shared" si="1"/>
        <v>3.8692834182343379E-2</v>
      </c>
    </row>
    <row r="18" spans="1:7" x14ac:dyDescent="0.2">
      <c r="A18" s="66" t="s">
        <v>127</v>
      </c>
      <c r="B18" s="62" t="s">
        <v>142</v>
      </c>
      <c r="C18" s="62" t="s">
        <v>158</v>
      </c>
      <c r="D18" s="62">
        <v>0.77900000000000003</v>
      </c>
      <c r="E18" s="62">
        <f t="shared" si="0"/>
        <v>0.10846254232743553</v>
      </c>
      <c r="F18" s="62">
        <v>0.86840816300000001</v>
      </c>
      <c r="G18" s="62">
        <f t="shared" si="1"/>
        <v>6.1276102848670508E-2</v>
      </c>
    </row>
    <row r="19" spans="1:7" x14ac:dyDescent="0.2">
      <c r="A19" s="67" t="s">
        <v>59</v>
      </c>
      <c r="B19" s="62" t="s">
        <v>142</v>
      </c>
      <c r="C19" s="62" t="s">
        <v>157</v>
      </c>
      <c r="D19" s="65">
        <v>1E-3</v>
      </c>
      <c r="E19" s="62">
        <f t="shared" si="0"/>
        <v>3</v>
      </c>
      <c r="F19" s="62">
        <v>2.7000000000000001E-3</v>
      </c>
      <c r="G19" s="62">
        <f t="shared" si="1"/>
        <v>2.5686362358410126</v>
      </c>
    </row>
    <row r="20" spans="1:7" x14ac:dyDescent="0.2">
      <c r="A20" s="67" t="s">
        <v>52</v>
      </c>
      <c r="B20" s="62" t="s">
        <v>142</v>
      </c>
      <c r="C20" s="62" t="s">
        <v>157</v>
      </c>
      <c r="D20" s="65">
        <v>1E-3</v>
      </c>
      <c r="E20" s="62">
        <f t="shared" si="0"/>
        <v>3</v>
      </c>
      <c r="F20" s="62">
        <v>2.7000000000000001E-3</v>
      </c>
      <c r="G20" s="62">
        <f t="shared" si="1"/>
        <v>2.5686362358410126</v>
      </c>
    </row>
    <row r="21" spans="1:7" x14ac:dyDescent="0.2">
      <c r="A21" s="67" t="s">
        <v>57</v>
      </c>
      <c r="B21" s="62" t="s">
        <v>142</v>
      </c>
      <c r="C21" s="62" t="s">
        <v>157</v>
      </c>
      <c r="D21" s="65">
        <v>1.0999999999999999E-2</v>
      </c>
      <c r="E21" s="62">
        <f t="shared" si="0"/>
        <v>1.9586073148417751</v>
      </c>
      <c r="F21" s="62">
        <v>2.1214285999999999E-2</v>
      </c>
      <c r="G21" s="62">
        <f t="shared" si="1"/>
        <v>1.6733715805119418</v>
      </c>
    </row>
    <row r="22" spans="1:7" x14ac:dyDescent="0.2">
      <c r="A22" s="67" t="s">
        <v>56</v>
      </c>
      <c r="B22" s="62" t="s">
        <v>142</v>
      </c>
      <c r="C22" s="62" t="s">
        <v>157</v>
      </c>
      <c r="D22" s="65">
        <v>2E-3</v>
      </c>
      <c r="E22" s="62">
        <f t="shared" si="0"/>
        <v>2.6989700043360187</v>
      </c>
      <c r="F22" s="62">
        <v>4.909091E-3</v>
      </c>
      <c r="G22" s="62">
        <f t="shared" si="1"/>
        <v>2.3089989172927661</v>
      </c>
    </row>
    <row r="23" spans="1:7" x14ac:dyDescent="0.2">
      <c r="A23" s="67" t="s">
        <v>55</v>
      </c>
      <c r="B23" s="62" t="s">
        <v>142</v>
      </c>
      <c r="C23" s="62" t="s">
        <v>157</v>
      </c>
      <c r="D23" s="65">
        <v>1E-3</v>
      </c>
      <c r="E23" s="62">
        <f t="shared" si="0"/>
        <v>3</v>
      </c>
      <c r="F23" s="62">
        <v>2.7000000000000001E-3</v>
      </c>
      <c r="G23" s="62">
        <f t="shared" si="1"/>
        <v>2.5686362358410126</v>
      </c>
    </row>
    <row r="24" spans="1:7" x14ac:dyDescent="0.2">
      <c r="A24" s="67" t="s">
        <v>58</v>
      </c>
      <c r="B24" s="62" t="s">
        <v>142</v>
      </c>
      <c r="C24" s="62" t="s">
        <v>157</v>
      </c>
      <c r="D24" s="65">
        <v>1.4999999999999999E-2</v>
      </c>
      <c r="E24" s="62">
        <f t="shared" si="0"/>
        <v>1.8239087409443189</v>
      </c>
      <c r="F24" s="62">
        <v>2.7E-2</v>
      </c>
      <c r="G24" s="62">
        <f t="shared" si="1"/>
        <v>1.5686362358410126</v>
      </c>
    </row>
    <row r="25" spans="1:7" x14ac:dyDescent="0.2">
      <c r="A25" s="67" t="s">
        <v>47</v>
      </c>
      <c r="B25" s="62" t="s">
        <v>142</v>
      </c>
      <c r="C25" s="62" t="s">
        <v>157</v>
      </c>
      <c r="D25" s="65">
        <v>1E-3</v>
      </c>
      <c r="E25" s="62">
        <f t="shared" si="0"/>
        <v>3</v>
      </c>
      <c r="F25" s="62">
        <v>2.7000000000000001E-3</v>
      </c>
      <c r="G25" s="62">
        <f t="shared" si="1"/>
        <v>2.5686362358410126</v>
      </c>
    </row>
    <row r="26" spans="1:7" x14ac:dyDescent="0.2">
      <c r="A26" s="67" t="s">
        <v>48</v>
      </c>
      <c r="B26" s="62" t="s">
        <v>142</v>
      </c>
      <c r="C26" s="62" t="s">
        <v>157</v>
      </c>
      <c r="D26" s="65">
        <v>0.70099999999999996</v>
      </c>
      <c r="E26" s="62">
        <f t="shared" si="0"/>
        <v>0.15428198203334137</v>
      </c>
      <c r="F26" s="62">
        <v>0.81229787200000003</v>
      </c>
      <c r="G26" s="62">
        <f t="shared" si="1"/>
        <v>9.0284684497857801E-2</v>
      </c>
    </row>
    <row r="27" spans="1:7" x14ac:dyDescent="0.2">
      <c r="A27" s="67" t="s">
        <v>49</v>
      </c>
      <c r="B27" s="62" t="s">
        <v>142</v>
      </c>
      <c r="C27" s="62" t="s">
        <v>157</v>
      </c>
      <c r="D27" s="65">
        <v>1E-3</v>
      </c>
      <c r="E27" s="62">
        <f t="shared" si="0"/>
        <v>3</v>
      </c>
      <c r="F27" s="62">
        <v>2.7000000000000001E-3</v>
      </c>
      <c r="G27" s="62">
        <f t="shared" si="1"/>
        <v>2.5686362358410126</v>
      </c>
    </row>
    <row r="28" spans="1:7" x14ac:dyDescent="0.2">
      <c r="A28" s="67" t="s">
        <v>50</v>
      </c>
      <c r="B28" s="62" t="s">
        <v>142</v>
      </c>
      <c r="C28" s="62" t="s">
        <v>157</v>
      </c>
      <c r="D28" s="65">
        <v>7.2999999999999995E-2</v>
      </c>
      <c r="E28" s="62">
        <f t="shared" si="0"/>
        <v>1.1366771398795441</v>
      </c>
      <c r="F28" s="62">
        <v>0.1095</v>
      </c>
      <c r="G28" s="62">
        <f t="shared" si="1"/>
        <v>0.96058588082386287</v>
      </c>
    </row>
    <row r="29" spans="1:7" x14ac:dyDescent="0.2">
      <c r="A29" s="67" t="s">
        <v>53</v>
      </c>
      <c r="B29" s="62" t="s">
        <v>142</v>
      </c>
      <c r="C29" s="62" t="s">
        <v>157</v>
      </c>
      <c r="D29" s="65">
        <v>1E-3</v>
      </c>
      <c r="E29" s="62">
        <f t="shared" si="0"/>
        <v>3</v>
      </c>
      <c r="F29" s="62">
        <v>2.7000000000000001E-3</v>
      </c>
      <c r="G29" s="62">
        <f t="shared" si="1"/>
        <v>2.5686362358410126</v>
      </c>
    </row>
    <row r="30" spans="1:7" x14ac:dyDescent="0.2">
      <c r="A30" s="66" t="s">
        <v>124</v>
      </c>
      <c r="B30" s="62" t="s">
        <v>142</v>
      </c>
      <c r="C30" s="62" t="s">
        <v>159</v>
      </c>
      <c r="D30" s="62">
        <v>8.0000000000000002E-3</v>
      </c>
      <c r="E30" s="62">
        <f t="shared" si="0"/>
        <v>2.0969100130080562</v>
      </c>
      <c r="F30" s="62">
        <v>1.6615385E-2</v>
      </c>
      <c r="G30" s="62">
        <f t="shared" si="1"/>
        <v>1.779489591102793</v>
      </c>
    </row>
    <row r="31" spans="1:7" x14ac:dyDescent="0.2">
      <c r="A31" s="66" t="s">
        <v>123</v>
      </c>
      <c r="B31" s="62" t="s">
        <v>142</v>
      </c>
      <c r="C31" s="62" t="s">
        <v>159</v>
      </c>
      <c r="D31" s="62">
        <v>1</v>
      </c>
      <c r="E31" s="62">
        <f t="shared" si="0"/>
        <v>0</v>
      </c>
      <c r="F31" s="62">
        <v>1</v>
      </c>
      <c r="G31" s="62">
        <f t="shared" si="1"/>
        <v>0</v>
      </c>
    </row>
    <row r="32" spans="1:7" x14ac:dyDescent="0.2">
      <c r="A32" s="66" t="s">
        <v>122</v>
      </c>
      <c r="B32" s="62" t="s">
        <v>142</v>
      </c>
      <c r="C32" s="62" t="s">
        <v>159</v>
      </c>
      <c r="D32" s="62">
        <v>1E-3</v>
      </c>
      <c r="E32" s="62">
        <f t="shared" si="0"/>
        <v>3</v>
      </c>
      <c r="F32" s="62">
        <v>2.7000000000000001E-3</v>
      </c>
      <c r="G32" s="62">
        <f t="shared" si="1"/>
        <v>2.5686362358410126</v>
      </c>
    </row>
    <row r="33" spans="1:7" x14ac:dyDescent="0.2">
      <c r="A33" s="66" t="s">
        <v>121</v>
      </c>
      <c r="B33" s="62" t="s">
        <v>142</v>
      </c>
      <c r="C33" s="62" t="s">
        <v>159</v>
      </c>
      <c r="D33" s="62">
        <v>1E-3</v>
      </c>
      <c r="E33" s="62">
        <f t="shared" si="0"/>
        <v>3</v>
      </c>
      <c r="F33" s="62">
        <v>2.7000000000000001E-3</v>
      </c>
      <c r="G33" s="62">
        <f t="shared" si="1"/>
        <v>2.5686362358410126</v>
      </c>
    </row>
    <row r="34" spans="1:7" x14ac:dyDescent="0.2">
      <c r="A34" s="66" t="s">
        <v>120</v>
      </c>
      <c r="B34" s="62" t="s">
        <v>142</v>
      </c>
      <c r="C34" s="62" t="s">
        <v>159</v>
      </c>
      <c r="D34" s="62">
        <v>1E-3</v>
      </c>
      <c r="E34" s="62">
        <f t="shared" si="0"/>
        <v>3</v>
      </c>
      <c r="F34" s="62">
        <v>2.7000000000000001E-3</v>
      </c>
      <c r="G34" s="62">
        <f t="shared" si="1"/>
        <v>2.5686362358410126</v>
      </c>
    </row>
    <row r="35" spans="1:7" x14ac:dyDescent="0.2">
      <c r="A35" s="66" t="s">
        <v>119</v>
      </c>
      <c r="B35" s="62" t="s">
        <v>142</v>
      </c>
      <c r="C35" s="62" t="s">
        <v>159</v>
      </c>
      <c r="D35" s="62">
        <v>2E-3</v>
      </c>
      <c r="E35" s="62">
        <f t="shared" si="0"/>
        <v>2.6989700043360187</v>
      </c>
      <c r="F35" s="62">
        <v>4.909091E-3</v>
      </c>
      <c r="G35" s="62">
        <f t="shared" si="1"/>
        <v>2.3089989172927661</v>
      </c>
    </row>
    <row r="36" spans="1:7" x14ac:dyDescent="0.2">
      <c r="A36" s="66" t="s">
        <v>118</v>
      </c>
      <c r="B36" s="62" t="s">
        <v>142</v>
      </c>
      <c r="C36" s="62" t="s">
        <v>159</v>
      </c>
      <c r="D36" s="62">
        <v>1E-3</v>
      </c>
      <c r="E36" s="62">
        <f t="shared" si="0"/>
        <v>3</v>
      </c>
      <c r="F36" s="62">
        <v>2.7000000000000001E-3</v>
      </c>
      <c r="G36" s="62">
        <f t="shared" si="1"/>
        <v>2.5686362358410126</v>
      </c>
    </row>
    <row r="37" spans="1:7" x14ac:dyDescent="0.2">
      <c r="A37" s="66" t="s">
        <v>117</v>
      </c>
      <c r="B37" s="62" t="s">
        <v>142</v>
      </c>
      <c r="C37" s="62" t="s">
        <v>159</v>
      </c>
      <c r="D37" s="62">
        <v>0.1</v>
      </c>
      <c r="E37" s="62">
        <f t="shared" si="0"/>
        <v>1</v>
      </c>
      <c r="F37" s="62">
        <v>0.14210526300000001</v>
      </c>
      <c r="G37" s="62">
        <f t="shared" si="1"/>
        <v>0.84738983727639106</v>
      </c>
    </row>
    <row r="38" spans="1:7" x14ac:dyDescent="0.2">
      <c r="A38" s="66" t="s">
        <v>116</v>
      </c>
      <c r="B38" s="62" t="s">
        <v>142</v>
      </c>
      <c r="C38" s="62" t="s">
        <v>159</v>
      </c>
      <c r="D38" s="62">
        <v>1E-3</v>
      </c>
      <c r="E38" s="62">
        <f t="shared" si="0"/>
        <v>3</v>
      </c>
      <c r="F38" s="62">
        <v>2.7000000000000001E-3</v>
      </c>
      <c r="G38" s="62">
        <f t="shared" si="1"/>
        <v>2.5686362358410126</v>
      </c>
    </row>
    <row r="39" spans="1:7" x14ac:dyDescent="0.2">
      <c r="A39" s="66" t="s">
        <v>115</v>
      </c>
      <c r="B39" s="62" t="s">
        <v>142</v>
      </c>
      <c r="C39" s="62" t="s">
        <v>159</v>
      </c>
      <c r="D39" s="62">
        <v>4.0000000000000001E-3</v>
      </c>
      <c r="E39" s="62">
        <f t="shared" si="0"/>
        <v>2.3979400086720375</v>
      </c>
      <c r="F39" s="62">
        <v>8.6400000000000001E-3</v>
      </c>
      <c r="G39" s="62">
        <f t="shared" si="1"/>
        <v>2.0634862575211068</v>
      </c>
    </row>
    <row r="40" spans="1:7" x14ac:dyDescent="0.2">
      <c r="A40" s="66" t="s">
        <v>114</v>
      </c>
      <c r="B40" s="62" t="s">
        <v>142</v>
      </c>
      <c r="C40" s="62" t="s">
        <v>159</v>
      </c>
      <c r="D40" s="62">
        <v>1E-3</v>
      </c>
      <c r="E40" s="62">
        <f t="shared" si="0"/>
        <v>3</v>
      </c>
      <c r="F40" s="62">
        <v>2.7000000000000001E-3</v>
      </c>
      <c r="G40" s="62">
        <f t="shared" si="1"/>
        <v>2.5686362358410126</v>
      </c>
    </row>
    <row r="41" spans="1:7" x14ac:dyDescent="0.2">
      <c r="A41" s="66" t="s">
        <v>113</v>
      </c>
      <c r="B41" s="62" t="s">
        <v>142</v>
      </c>
      <c r="C41" s="62" t="s">
        <v>159</v>
      </c>
      <c r="D41" s="62">
        <v>0.78800000000000003</v>
      </c>
      <c r="E41" s="62">
        <f t="shared" si="0"/>
        <v>0.10347378251044466</v>
      </c>
      <c r="F41" s="62">
        <v>0.86840816300000001</v>
      </c>
      <c r="G41" s="62">
        <f t="shared" si="1"/>
        <v>6.1276102848670508E-2</v>
      </c>
    </row>
    <row r="42" spans="1:7" x14ac:dyDescent="0.2">
      <c r="A42" s="66" t="s">
        <v>112</v>
      </c>
      <c r="B42" s="62" t="s">
        <v>142</v>
      </c>
      <c r="C42" s="62" t="s">
        <v>159</v>
      </c>
      <c r="D42" s="62">
        <v>1E-3</v>
      </c>
      <c r="E42" s="62">
        <f t="shared" si="0"/>
        <v>3</v>
      </c>
      <c r="F42" s="62">
        <v>2.7000000000000001E-3</v>
      </c>
      <c r="G42" s="62">
        <f t="shared" si="1"/>
        <v>2.5686362358410126</v>
      </c>
    </row>
    <row r="43" spans="1:7" x14ac:dyDescent="0.2">
      <c r="A43" s="66" t="s">
        <v>111</v>
      </c>
      <c r="B43" s="62" t="s">
        <v>142</v>
      </c>
      <c r="C43" s="62" t="s">
        <v>159</v>
      </c>
      <c r="D43" s="62">
        <v>1.4999999999999999E-2</v>
      </c>
      <c r="E43" s="62">
        <f t="shared" si="0"/>
        <v>1.8239087409443189</v>
      </c>
      <c r="F43" s="62">
        <v>2.7E-2</v>
      </c>
      <c r="G43" s="62">
        <f t="shared" si="1"/>
        <v>1.5686362358410126</v>
      </c>
    </row>
    <row r="44" spans="1:7" x14ac:dyDescent="0.2">
      <c r="A44" s="66" t="s">
        <v>110</v>
      </c>
      <c r="B44" s="62" t="s">
        <v>142</v>
      </c>
      <c r="C44" s="62" t="s">
        <v>159</v>
      </c>
      <c r="D44" s="62">
        <v>0.02</v>
      </c>
      <c r="E44" s="62">
        <f t="shared" si="0"/>
        <v>1.6989700043360187</v>
      </c>
      <c r="F44" s="62">
        <v>3.4838710000000002E-2</v>
      </c>
      <c r="G44" s="62">
        <f t="shared" si="1"/>
        <v>1.4579379343260779</v>
      </c>
    </row>
    <row r="45" spans="1:7" x14ac:dyDescent="0.2">
      <c r="A45" s="66" t="s">
        <v>109</v>
      </c>
      <c r="B45" s="62" t="s">
        <v>142</v>
      </c>
      <c r="C45" s="62" t="s">
        <v>159</v>
      </c>
      <c r="D45" s="62">
        <v>0.14199999999999999</v>
      </c>
      <c r="E45" s="62">
        <f t="shared" si="0"/>
        <v>0.8477116556169435</v>
      </c>
      <c r="F45" s="62">
        <v>0.196615385</v>
      </c>
      <c r="G45" s="62">
        <f t="shared" si="1"/>
        <v>0.70638250197091534</v>
      </c>
    </row>
    <row r="46" spans="1:7" x14ac:dyDescent="0.2">
      <c r="A46" s="66" t="s">
        <v>108</v>
      </c>
      <c r="B46" s="62" t="s">
        <v>142</v>
      </c>
      <c r="C46" s="62" t="s">
        <v>159</v>
      </c>
      <c r="D46" s="62">
        <v>1E-3</v>
      </c>
      <c r="E46" s="62">
        <f t="shared" si="0"/>
        <v>3</v>
      </c>
      <c r="F46" s="62">
        <v>2.7000000000000001E-3</v>
      </c>
      <c r="G46" s="62">
        <f t="shared" si="1"/>
        <v>2.5686362358410126</v>
      </c>
    </row>
    <row r="47" spans="1:7" x14ac:dyDescent="0.2">
      <c r="A47" s="66" t="s">
        <v>107</v>
      </c>
      <c r="B47" s="62" t="s">
        <v>142</v>
      </c>
      <c r="C47" s="62" t="s">
        <v>159</v>
      </c>
      <c r="D47" s="62">
        <v>1E-3</v>
      </c>
      <c r="E47" s="62">
        <f t="shared" si="0"/>
        <v>3</v>
      </c>
      <c r="F47" s="62">
        <v>2.7000000000000001E-3</v>
      </c>
      <c r="G47" s="62">
        <f t="shared" si="1"/>
        <v>2.5686362358410126</v>
      </c>
    </row>
    <row r="48" spans="1:7" x14ac:dyDescent="0.2">
      <c r="A48" s="66" t="s">
        <v>106</v>
      </c>
      <c r="B48" s="62" t="s">
        <v>142</v>
      </c>
      <c r="C48" s="62" t="s">
        <v>159</v>
      </c>
      <c r="D48" s="62">
        <v>1E-3</v>
      </c>
      <c r="E48" s="62">
        <f t="shared" si="0"/>
        <v>3</v>
      </c>
      <c r="F48" s="62">
        <v>2.7000000000000001E-3</v>
      </c>
      <c r="G48" s="62">
        <f t="shared" si="1"/>
        <v>2.5686362358410126</v>
      </c>
    </row>
    <row r="49" spans="1:7" x14ac:dyDescent="0.2">
      <c r="A49" s="66" t="s">
        <v>129</v>
      </c>
      <c r="B49" s="62" t="s">
        <v>142</v>
      </c>
      <c r="C49" s="62" t="s">
        <v>159</v>
      </c>
      <c r="D49" s="62">
        <v>8.9999999999999993E-3</v>
      </c>
      <c r="E49" s="62">
        <f t="shared" si="0"/>
        <v>2.0457574905606752</v>
      </c>
      <c r="F49" s="62">
        <v>1.7999999999999999E-2</v>
      </c>
      <c r="G49" s="62">
        <f t="shared" si="1"/>
        <v>1.744727494896694</v>
      </c>
    </row>
    <row r="50" spans="1:7" x14ac:dyDescent="0.2">
      <c r="A50" s="66" t="s">
        <v>104</v>
      </c>
      <c r="B50" s="62" t="s">
        <v>142</v>
      </c>
      <c r="C50" s="62" t="s">
        <v>159</v>
      </c>
      <c r="D50" s="62">
        <v>1E-3</v>
      </c>
      <c r="E50" s="62">
        <f t="shared" si="0"/>
        <v>3</v>
      </c>
      <c r="F50" s="62">
        <v>2.7000000000000001E-3</v>
      </c>
      <c r="G50" s="62">
        <f t="shared" si="1"/>
        <v>2.5686362358410126</v>
      </c>
    </row>
    <row r="51" spans="1:7" x14ac:dyDescent="0.2">
      <c r="A51" s="66" t="s">
        <v>105</v>
      </c>
      <c r="B51" s="62" t="s">
        <v>142</v>
      </c>
      <c r="C51" s="62" t="s">
        <v>159</v>
      </c>
      <c r="D51" s="62">
        <v>6.3E-2</v>
      </c>
      <c r="E51" s="62">
        <f t="shared" si="0"/>
        <v>1.2006594505464183</v>
      </c>
      <c r="F51" s="62">
        <v>0.10309090899999999</v>
      </c>
      <c r="G51" s="62">
        <f t="shared" si="1"/>
        <v>0.98677963098431298</v>
      </c>
    </row>
    <row r="52" spans="1:7" x14ac:dyDescent="0.2">
      <c r="A52" s="66" t="s">
        <v>103</v>
      </c>
      <c r="B52" s="62" t="s">
        <v>142</v>
      </c>
      <c r="C52" s="62" t="s">
        <v>159</v>
      </c>
      <c r="D52" s="62">
        <v>7.0999999999999994E-2</v>
      </c>
      <c r="E52" s="62">
        <f t="shared" si="0"/>
        <v>1.1487416512809248</v>
      </c>
      <c r="F52" s="62">
        <v>0.1095</v>
      </c>
      <c r="G52" s="62">
        <f t="shared" si="1"/>
        <v>0.96058588082386287</v>
      </c>
    </row>
    <row r="53" spans="1:7" x14ac:dyDescent="0.2">
      <c r="A53" s="66" t="s">
        <v>102</v>
      </c>
      <c r="B53" s="62" t="s">
        <v>142</v>
      </c>
      <c r="C53" s="62" t="s">
        <v>159</v>
      </c>
      <c r="D53" s="62">
        <v>8.5000000000000006E-2</v>
      </c>
      <c r="E53" s="62">
        <f t="shared" si="0"/>
        <v>1.0705810742857071</v>
      </c>
      <c r="F53" s="62">
        <v>0.124054054</v>
      </c>
      <c r="G53" s="62">
        <f t="shared" si="1"/>
        <v>0.90638903871896881</v>
      </c>
    </row>
    <row r="54" spans="1:7" x14ac:dyDescent="0.2">
      <c r="A54" s="66" t="s">
        <v>101</v>
      </c>
      <c r="B54" s="62" t="s">
        <v>142</v>
      </c>
      <c r="C54" s="62" t="s">
        <v>156</v>
      </c>
      <c r="D54" s="62">
        <v>1E-3</v>
      </c>
      <c r="E54" s="62">
        <f t="shared" si="0"/>
        <v>3</v>
      </c>
      <c r="F54" s="62">
        <v>2.7000000000000001E-3</v>
      </c>
      <c r="G54" s="62">
        <f t="shared" si="1"/>
        <v>2.5686362358410126</v>
      </c>
    </row>
    <row r="55" spans="1:7" x14ac:dyDescent="0.2">
      <c r="A55" s="66" t="s">
        <v>45</v>
      </c>
      <c r="B55" s="62" t="s">
        <v>142</v>
      </c>
      <c r="C55" s="62" t="s">
        <v>156</v>
      </c>
      <c r="D55" s="62">
        <v>1E-3</v>
      </c>
      <c r="E55" s="62">
        <f t="shared" si="0"/>
        <v>3</v>
      </c>
      <c r="F55" s="62">
        <v>2.7000000000000001E-3</v>
      </c>
      <c r="G55" s="62">
        <f t="shared" si="1"/>
        <v>2.5686362358410126</v>
      </c>
    </row>
    <row r="56" spans="1:7" x14ac:dyDescent="0.2">
      <c r="A56" s="64" t="s">
        <v>99</v>
      </c>
      <c r="B56" s="62" t="s">
        <v>143</v>
      </c>
      <c r="C56" s="62" t="s">
        <v>99</v>
      </c>
      <c r="D56" s="62">
        <v>1E-3</v>
      </c>
      <c r="E56" s="62">
        <f t="shared" si="0"/>
        <v>3</v>
      </c>
    </row>
    <row r="57" spans="1:7" x14ac:dyDescent="0.2">
      <c r="A57" s="66" t="s">
        <v>12</v>
      </c>
      <c r="B57" s="62" t="s">
        <v>143</v>
      </c>
      <c r="C57" s="62" t="s">
        <v>155</v>
      </c>
      <c r="D57" s="62">
        <v>0.98399999999999999</v>
      </c>
      <c r="E57" s="62">
        <f t="shared" si="0"/>
        <v>7.0049015686584892E-3</v>
      </c>
    </row>
    <row r="58" spans="1:7" x14ac:dyDescent="0.2">
      <c r="A58" s="66" t="s">
        <v>13</v>
      </c>
      <c r="B58" s="62" t="s">
        <v>143</v>
      </c>
      <c r="C58" s="62" t="s">
        <v>155</v>
      </c>
      <c r="D58" s="62">
        <v>0.97799999999999998</v>
      </c>
      <c r="E58" s="62">
        <f t="shared" si="0"/>
        <v>9.6611452123985687E-3</v>
      </c>
    </row>
    <row r="59" spans="1:7" x14ac:dyDescent="0.2">
      <c r="A59" s="66" t="s">
        <v>18</v>
      </c>
      <c r="B59" s="62" t="s">
        <v>143</v>
      </c>
      <c r="C59" s="62" t="s">
        <v>155</v>
      </c>
      <c r="D59" s="62">
        <v>0.44400000000000001</v>
      </c>
      <c r="E59" s="62">
        <f t="shared" si="0"/>
        <v>0.35261702988538018</v>
      </c>
    </row>
    <row r="60" spans="1:7" x14ac:dyDescent="0.2">
      <c r="A60" s="66" t="s">
        <v>33</v>
      </c>
      <c r="B60" s="62" t="s">
        <v>143</v>
      </c>
      <c r="C60" s="62" t="s">
        <v>155</v>
      </c>
      <c r="D60" s="62">
        <v>0.38300000000000001</v>
      </c>
      <c r="E60" s="62">
        <f t="shared" si="0"/>
        <v>0.41680122603137726</v>
      </c>
    </row>
    <row r="61" spans="1:7" x14ac:dyDescent="0.2">
      <c r="A61" s="66" t="s">
        <v>30</v>
      </c>
      <c r="B61" s="62" t="s">
        <v>143</v>
      </c>
      <c r="C61" s="62" t="s">
        <v>155</v>
      </c>
      <c r="D61" s="62">
        <v>0.95199999999999996</v>
      </c>
      <c r="E61" s="62">
        <f t="shared" si="0"/>
        <v>2.1363051615525673E-2</v>
      </c>
    </row>
    <row r="62" spans="1:7" x14ac:dyDescent="0.2">
      <c r="A62" s="66" t="s">
        <v>100</v>
      </c>
      <c r="B62" s="62" t="s">
        <v>143</v>
      </c>
      <c r="C62" s="62" t="s">
        <v>155</v>
      </c>
      <c r="D62" s="62">
        <v>1E-3</v>
      </c>
      <c r="E62" s="62">
        <f t="shared" si="0"/>
        <v>3</v>
      </c>
    </row>
    <row r="63" spans="1:7" x14ac:dyDescent="0.2">
      <c r="A63" s="66" t="s">
        <v>23</v>
      </c>
      <c r="B63" s="62" t="s">
        <v>143</v>
      </c>
      <c r="C63" s="62" t="s">
        <v>158</v>
      </c>
      <c r="D63" s="62">
        <v>0.505</v>
      </c>
      <c r="E63" s="62">
        <f t="shared" si="0"/>
        <v>0.29670862188133862</v>
      </c>
    </row>
    <row r="64" spans="1:7" x14ac:dyDescent="0.2">
      <c r="A64" s="66" t="s">
        <v>128</v>
      </c>
      <c r="B64" s="62" t="s">
        <v>143</v>
      </c>
      <c r="C64" s="62" t="s">
        <v>158</v>
      </c>
      <c r="D64" s="62">
        <v>3.0000000000000001E-3</v>
      </c>
      <c r="E64" s="62">
        <f t="shared" si="0"/>
        <v>2.5228787452803374</v>
      </c>
    </row>
    <row r="65" spans="1:5" x14ac:dyDescent="0.2">
      <c r="A65" s="66" t="s">
        <v>29</v>
      </c>
      <c r="B65" s="62" t="s">
        <v>143</v>
      </c>
      <c r="C65" s="62" t="s">
        <v>158</v>
      </c>
      <c r="D65" s="62">
        <v>0.871</v>
      </c>
      <c r="E65" s="62">
        <f t="shared" si="0"/>
        <v>5.9981844992336796E-2</v>
      </c>
    </row>
    <row r="66" spans="1:5" x14ac:dyDescent="0.2">
      <c r="A66" s="66" t="s">
        <v>28</v>
      </c>
      <c r="B66" s="62" t="s">
        <v>143</v>
      </c>
      <c r="C66" s="62" t="s">
        <v>158</v>
      </c>
      <c r="D66" s="62">
        <v>0.47199999999999998</v>
      </c>
      <c r="E66" s="62">
        <f t="shared" si="0"/>
        <v>0.32605800136591223</v>
      </c>
    </row>
    <row r="67" spans="1:5" x14ac:dyDescent="0.2">
      <c r="A67" s="66" t="s">
        <v>25</v>
      </c>
      <c r="B67" s="62" t="s">
        <v>143</v>
      </c>
      <c r="C67" s="62" t="s">
        <v>158</v>
      </c>
      <c r="D67" s="62">
        <v>0.19</v>
      </c>
      <c r="E67" s="62">
        <f t="shared" ref="E67:E109" si="2">-LOG10(D67)</f>
        <v>0.72124639904717103</v>
      </c>
    </row>
    <row r="68" spans="1:5" x14ac:dyDescent="0.2">
      <c r="A68" s="66" t="s">
        <v>24</v>
      </c>
      <c r="B68" s="62" t="s">
        <v>143</v>
      </c>
      <c r="C68" s="62" t="s">
        <v>158</v>
      </c>
      <c r="D68" s="62">
        <v>0.58299999999999996</v>
      </c>
      <c r="E68" s="62">
        <f t="shared" si="2"/>
        <v>0.23433144524098595</v>
      </c>
    </row>
    <row r="69" spans="1:5" x14ac:dyDescent="0.2">
      <c r="A69" s="66" t="s">
        <v>38</v>
      </c>
      <c r="B69" s="62" t="s">
        <v>143</v>
      </c>
      <c r="C69" s="62" t="s">
        <v>158</v>
      </c>
      <c r="D69" s="62">
        <v>0.76900000000000002</v>
      </c>
      <c r="E69" s="62">
        <f t="shared" si="2"/>
        <v>0.11407366019856895</v>
      </c>
    </row>
    <row r="70" spans="1:5" x14ac:dyDescent="0.2">
      <c r="A70" s="66" t="s">
        <v>39</v>
      </c>
      <c r="B70" s="62" t="s">
        <v>143</v>
      </c>
      <c r="C70" s="62" t="s">
        <v>158</v>
      </c>
      <c r="D70" s="62">
        <v>0.105</v>
      </c>
      <c r="E70" s="62">
        <f t="shared" si="2"/>
        <v>0.97881070093006195</v>
      </c>
    </row>
    <row r="71" spans="1:5" x14ac:dyDescent="0.2">
      <c r="A71" s="66" t="s">
        <v>126</v>
      </c>
      <c r="B71" s="62" t="s">
        <v>143</v>
      </c>
      <c r="C71" s="62" t="s">
        <v>158</v>
      </c>
      <c r="D71" s="62">
        <v>0.85199999999999998</v>
      </c>
      <c r="E71" s="62">
        <f t="shared" si="2"/>
        <v>6.9560405233299899E-2</v>
      </c>
    </row>
    <row r="72" spans="1:5" x14ac:dyDescent="0.2">
      <c r="A72" s="66" t="s">
        <v>127</v>
      </c>
      <c r="B72" s="62" t="s">
        <v>143</v>
      </c>
      <c r="C72" s="62" t="s">
        <v>158</v>
      </c>
      <c r="D72" s="62">
        <v>0.76</v>
      </c>
      <c r="E72" s="62">
        <f t="shared" si="2"/>
        <v>0.11918640771920865</v>
      </c>
    </row>
    <row r="73" spans="1:5" x14ac:dyDescent="0.2">
      <c r="A73" s="67" t="s">
        <v>59</v>
      </c>
      <c r="B73" s="62" t="s">
        <v>143</v>
      </c>
      <c r="C73" s="62" t="s">
        <v>157</v>
      </c>
      <c r="D73" s="65">
        <v>1E-3</v>
      </c>
      <c r="E73" s="62">
        <f t="shared" si="2"/>
        <v>3</v>
      </c>
    </row>
    <row r="74" spans="1:5" x14ac:dyDescent="0.2">
      <c r="A74" s="67" t="s">
        <v>52</v>
      </c>
      <c r="B74" s="62" t="s">
        <v>143</v>
      </c>
      <c r="C74" s="62" t="s">
        <v>157</v>
      </c>
      <c r="D74" s="65">
        <v>1E-3</v>
      </c>
      <c r="E74" s="62">
        <f t="shared" si="2"/>
        <v>3</v>
      </c>
    </row>
    <row r="75" spans="1:5" x14ac:dyDescent="0.2">
      <c r="A75" s="67" t="s">
        <v>57</v>
      </c>
      <c r="B75" s="62" t="s">
        <v>143</v>
      </c>
      <c r="C75" s="62" t="s">
        <v>157</v>
      </c>
      <c r="D75" s="65">
        <v>1E-3</v>
      </c>
      <c r="E75" s="62">
        <f t="shared" si="2"/>
        <v>3</v>
      </c>
    </row>
    <row r="76" spans="1:5" x14ac:dyDescent="0.2">
      <c r="A76" s="67" t="s">
        <v>56</v>
      </c>
      <c r="B76" s="62" t="s">
        <v>143</v>
      </c>
      <c r="C76" s="62" t="s">
        <v>157</v>
      </c>
      <c r="D76" s="65">
        <v>1E-3</v>
      </c>
      <c r="E76" s="62">
        <f t="shared" si="2"/>
        <v>3</v>
      </c>
    </row>
    <row r="77" spans="1:5" x14ac:dyDescent="0.2">
      <c r="A77" s="67" t="s">
        <v>55</v>
      </c>
      <c r="B77" s="62" t="s">
        <v>143</v>
      </c>
      <c r="C77" s="62" t="s">
        <v>157</v>
      </c>
      <c r="D77" s="65">
        <v>1E-3</v>
      </c>
      <c r="E77" s="62">
        <f t="shared" si="2"/>
        <v>3</v>
      </c>
    </row>
    <row r="78" spans="1:5" x14ac:dyDescent="0.2">
      <c r="A78" s="67" t="s">
        <v>58</v>
      </c>
      <c r="B78" s="62" t="s">
        <v>143</v>
      </c>
      <c r="C78" s="62" t="s">
        <v>157</v>
      </c>
      <c r="D78" s="65">
        <v>0.83599999999999997</v>
      </c>
      <c r="E78" s="62">
        <f t="shared" si="2"/>
        <v>7.779372256098363E-2</v>
      </c>
    </row>
    <row r="79" spans="1:5" x14ac:dyDescent="0.2">
      <c r="A79" s="67" t="s">
        <v>47</v>
      </c>
      <c r="B79" s="62" t="s">
        <v>143</v>
      </c>
      <c r="C79" s="62" t="s">
        <v>157</v>
      </c>
      <c r="D79" s="65">
        <v>1E-3</v>
      </c>
      <c r="E79" s="62">
        <f t="shared" si="2"/>
        <v>3</v>
      </c>
    </row>
    <row r="80" spans="1:5" x14ac:dyDescent="0.2">
      <c r="A80" s="67" t="s">
        <v>48</v>
      </c>
      <c r="B80" s="62" t="s">
        <v>143</v>
      </c>
      <c r="C80" s="62" t="s">
        <v>157</v>
      </c>
      <c r="D80" s="65">
        <v>0.45700000000000002</v>
      </c>
      <c r="E80" s="62">
        <f t="shared" si="2"/>
        <v>0.34008379993014975</v>
      </c>
    </row>
    <row r="81" spans="1:5" x14ac:dyDescent="0.2">
      <c r="A81" s="67" t="s">
        <v>49</v>
      </c>
      <c r="B81" s="62" t="s">
        <v>143</v>
      </c>
      <c r="C81" s="62" t="s">
        <v>157</v>
      </c>
      <c r="D81" s="65">
        <v>1E-3</v>
      </c>
      <c r="E81" s="62">
        <f t="shared" si="2"/>
        <v>3</v>
      </c>
    </row>
    <row r="82" spans="1:5" x14ac:dyDescent="0.2">
      <c r="A82" s="67" t="s">
        <v>50</v>
      </c>
      <c r="B82" s="62" t="s">
        <v>143</v>
      </c>
      <c r="C82" s="62" t="s">
        <v>157</v>
      </c>
      <c r="D82" s="65">
        <v>0.56000000000000005</v>
      </c>
      <c r="E82" s="62">
        <f t="shared" si="2"/>
        <v>0.25181197299379954</v>
      </c>
    </row>
    <row r="83" spans="1:5" x14ac:dyDescent="0.2">
      <c r="A83" s="67" t="s">
        <v>53</v>
      </c>
      <c r="B83" s="62" t="s">
        <v>143</v>
      </c>
      <c r="C83" s="62" t="s">
        <v>157</v>
      </c>
      <c r="D83" s="65">
        <v>1E-3</v>
      </c>
      <c r="E83" s="62">
        <f t="shared" si="2"/>
        <v>3</v>
      </c>
    </row>
    <row r="84" spans="1:5" x14ac:dyDescent="0.2">
      <c r="A84" s="66" t="s">
        <v>124</v>
      </c>
      <c r="B84" s="62" t="s">
        <v>143</v>
      </c>
      <c r="C84" s="62" t="s">
        <v>159</v>
      </c>
      <c r="D84" s="62">
        <v>8.0000000000000002E-3</v>
      </c>
      <c r="E84" s="62">
        <f t="shared" si="2"/>
        <v>2.0969100130080562</v>
      </c>
    </row>
    <row r="85" spans="1:5" x14ac:dyDescent="0.2">
      <c r="A85" s="66" t="s">
        <v>123</v>
      </c>
      <c r="B85" s="62" t="s">
        <v>143</v>
      </c>
      <c r="C85" s="62" t="s">
        <v>159</v>
      </c>
      <c r="D85" s="62">
        <v>0.77100000000000002</v>
      </c>
      <c r="E85" s="62">
        <f t="shared" si="2"/>
        <v>0.11294562194904302</v>
      </c>
    </row>
    <row r="86" spans="1:5" x14ac:dyDescent="0.2">
      <c r="A86" s="66" t="s">
        <v>122</v>
      </c>
      <c r="B86" s="62" t="s">
        <v>143</v>
      </c>
      <c r="C86" s="62" t="s">
        <v>159</v>
      </c>
      <c r="D86" s="62">
        <v>1E-3</v>
      </c>
      <c r="E86" s="62">
        <f t="shared" si="2"/>
        <v>3</v>
      </c>
    </row>
    <row r="87" spans="1:5" x14ac:dyDescent="0.2">
      <c r="A87" s="66" t="s">
        <v>121</v>
      </c>
      <c r="B87" s="62" t="s">
        <v>143</v>
      </c>
      <c r="C87" s="62" t="s">
        <v>159</v>
      </c>
      <c r="D87" s="62">
        <v>1E-3</v>
      </c>
      <c r="E87" s="62">
        <f t="shared" si="2"/>
        <v>3</v>
      </c>
    </row>
    <row r="88" spans="1:5" x14ac:dyDescent="0.2">
      <c r="A88" s="66" t="s">
        <v>120</v>
      </c>
      <c r="B88" s="62" t="s">
        <v>143</v>
      </c>
      <c r="C88" s="62" t="s">
        <v>159</v>
      </c>
      <c r="D88" s="62">
        <v>1E-3</v>
      </c>
      <c r="E88" s="62">
        <f t="shared" si="2"/>
        <v>3</v>
      </c>
    </row>
    <row r="89" spans="1:5" x14ac:dyDescent="0.2">
      <c r="A89" s="66" t="s">
        <v>119</v>
      </c>
      <c r="B89" s="62" t="s">
        <v>143</v>
      </c>
      <c r="C89" s="62" t="s">
        <v>159</v>
      </c>
      <c r="D89" s="62">
        <v>1E-3</v>
      </c>
      <c r="E89" s="62">
        <f t="shared" si="2"/>
        <v>3</v>
      </c>
    </row>
    <row r="90" spans="1:5" x14ac:dyDescent="0.2">
      <c r="A90" s="66" t="s">
        <v>118</v>
      </c>
      <c r="B90" s="62" t="s">
        <v>143</v>
      </c>
      <c r="C90" s="62" t="s">
        <v>159</v>
      </c>
      <c r="D90" s="62">
        <v>1.6E-2</v>
      </c>
      <c r="E90" s="62">
        <f t="shared" si="2"/>
        <v>1.7958800173440752</v>
      </c>
    </row>
    <row r="91" spans="1:5" x14ac:dyDescent="0.2">
      <c r="A91" s="66" t="s">
        <v>117</v>
      </c>
      <c r="B91" s="62" t="s">
        <v>143</v>
      </c>
      <c r="C91" s="62" t="s">
        <v>159</v>
      </c>
      <c r="D91" s="62">
        <v>6.0000000000000001E-3</v>
      </c>
      <c r="E91" s="62">
        <f t="shared" si="2"/>
        <v>2.2218487496163561</v>
      </c>
    </row>
    <row r="92" spans="1:5" x14ac:dyDescent="0.2">
      <c r="A92" s="66" t="s">
        <v>116</v>
      </c>
      <c r="B92" s="62" t="s">
        <v>143</v>
      </c>
      <c r="C92" s="62" t="s">
        <v>159</v>
      </c>
      <c r="D92" s="62">
        <v>1E-3</v>
      </c>
      <c r="E92" s="62">
        <f t="shared" si="2"/>
        <v>3</v>
      </c>
    </row>
    <row r="93" spans="1:5" x14ac:dyDescent="0.2">
      <c r="A93" s="66" t="s">
        <v>115</v>
      </c>
      <c r="B93" s="62" t="s">
        <v>143</v>
      </c>
      <c r="C93" s="62" t="s">
        <v>159</v>
      </c>
      <c r="D93" s="62">
        <v>4.3999999999999997E-2</v>
      </c>
      <c r="E93" s="62">
        <f t="shared" si="2"/>
        <v>1.3565473235138126</v>
      </c>
    </row>
    <row r="94" spans="1:5" x14ac:dyDescent="0.2">
      <c r="A94" s="66" t="s">
        <v>114</v>
      </c>
      <c r="B94" s="62" t="s">
        <v>143</v>
      </c>
      <c r="C94" s="62" t="s">
        <v>159</v>
      </c>
      <c r="D94" s="62">
        <v>1E-3</v>
      </c>
      <c r="E94" s="62">
        <f t="shared" si="2"/>
        <v>3</v>
      </c>
    </row>
    <row r="95" spans="1:5" x14ac:dyDescent="0.2">
      <c r="A95" s="66" t="s">
        <v>113</v>
      </c>
      <c r="B95" s="62" t="s">
        <v>143</v>
      </c>
      <c r="C95" s="62" t="s">
        <v>159</v>
      </c>
      <c r="D95" s="62">
        <v>0.34699999999999998</v>
      </c>
      <c r="E95" s="62">
        <f t="shared" si="2"/>
        <v>0.45967052520912632</v>
      </c>
    </row>
    <row r="96" spans="1:5" x14ac:dyDescent="0.2">
      <c r="A96" s="66" t="s">
        <v>112</v>
      </c>
      <c r="B96" s="62" t="s">
        <v>143</v>
      </c>
      <c r="C96" s="62" t="s">
        <v>159</v>
      </c>
      <c r="D96" s="62">
        <v>1E-3</v>
      </c>
      <c r="E96" s="62">
        <f t="shared" si="2"/>
        <v>3</v>
      </c>
    </row>
    <row r="97" spans="1:5" x14ac:dyDescent="0.2">
      <c r="A97" s="66" t="s">
        <v>111</v>
      </c>
      <c r="B97" s="62" t="s">
        <v>143</v>
      </c>
      <c r="C97" s="62" t="s">
        <v>159</v>
      </c>
      <c r="D97" s="62">
        <v>3.0000000000000001E-3</v>
      </c>
      <c r="E97" s="62">
        <f t="shared" si="2"/>
        <v>2.5228787452803374</v>
      </c>
    </row>
    <row r="98" spans="1:5" x14ac:dyDescent="0.2">
      <c r="A98" s="66" t="s">
        <v>110</v>
      </c>
      <c r="B98" s="62" t="s">
        <v>143</v>
      </c>
      <c r="C98" s="62" t="s">
        <v>159</v>
      </c>
      <c r="D98" s="62">
        <v>1.9E-2</v>
      </c>
      <c r="E98" s="62">
        <f t="shared" si="2"/>
        <v>1.7212463990471711</v>
      </c>
    </row>
    <row r="99" spans="1:5" x14ac:dyDescent="0.2">
      <c r="A99" s="66" t="s">
        <v>109</v>
      </c>
      <c r="B99" s="62" t="s">
        <v>143</v>
      </c>
      <c r="C99" s="62" t="s">
        <v>159</v>
      </c>
      <c r="D99" s="62">
        <v>1E-3</v>
      </c>
      <c r="E99" s="62">
        <f t="shared" si="2"/>
        <v>3</v>
      </c>
    </row>
    <row r="100" spans="1:5" x14ac:dyDescent="0.2">
      <c r="A100" s="66" t="s">
        <v>108</v>
      </c>
      <c r="B100" s="62" t="s">
        <v>143</v>
      </c>
      <c r="C100" s="62" t="s">
        <v>159</v>
      </c>
      <c r="D100" s="62">
        <v>1E-3</v>
      </c>
      <c r="E100" s="62">
        <f t="shared" si="2"/>
        <v>3</v>
      </c>
    </row>
    <row r="101" spans="1:5" x14ac:dyDescent="0.2">
      <c r="A101" s="66" t="s">
        <v>107</v>
      </c>
      <c r="B101" s="62" t="s">
        <v>143</v>
      </c>
      <c r="C101" s="62" t="s">
        <v>159</v>
      </c>
      <c r="D101" s="62">
        <v>1E-3</v>
      </c>
      <c r="E101" s="62">
        <f t="shared" si="2"/>
        <v>3</v>
      </c>
    </row>
    <row r="102" spans="1:5" x14ac:dyDescent="0.2">
      <c r="A102" s="66" t="s">
        <v>106</v>
      </c>
      <c r="B102" s="62" t="s">
        <v>143</v>
      </c>
      <c r="C102" s="62" t="s">
        <v>159</v>
      </c>
      <c r="D102" s="62">
        <v>1E-3</v>
      </c>
      <c r="E102" s="62">
        <f t="shared" si="2"/>
        <v>3</v>
      </c>
    </row>
    <row r="103" spans="1:5" x14ac:dyDescent="0.2">
      <c r="A103" s="66" t="s">
        <v>129</v>
      </c>
      <c r="B103" s="62" t="s">
        <v>143</v>
      </c>
      <c r="C103" s="62" t="s">
        <v>159</v>
      </c>
      <c r="D103" s="62">
        <v>1E-3</v>
      </c>
      <c r="E103" s="62">
        <f t="shared" si="2"/>
        <v>3</v>
      </c>
    </row>
    <row r="104" spans="1:5" x14ac:dyDescent="0.2">
      <c r="A104" s="66" t="s">
        <v>104</v>
      </c>
      <c r="B104" s="62" t="s">
        <v>143</v>
      </c>
      <c r="C104" s="62" t="s">
        <v>159</v>
      </c>
      <c r="D104" s="62">
        <v>1E-3</v>
      </c>
      <c r="E104" s="62">
        <f t="shared" si="2"/>
        <v>3</v>
      </c>
    </row>
    <row r="105" spans="1:5" x14ac:dyDescent="0.2">
      <c r="A105" s="66" t="s">
        <v>105</v>
      </c>
      <c r="B105" s="62" t="s">
        <v>143</v>
      </c>
      <c r="C105" s="62" t="s">
        <v>159</v>
      </c>
      <c r="D105" s="62">
        <v>3.2000000000000001E-2</v>
      </c>
      <c r="E105" s="62">
        <f t="shared" si="2"/>
        <v>1.494850021680094</v>
      </c>
    </row>
    <row r="106" spans="1:5" x14ac:dyDescent="0.2">
      <c r="A106" s="66" t="s">
        <v>103</v>
      </c>
      <c r="B106" s="62" t="s">
        <v>143</v>
      </c>
      <c r="C106" s="62" t="s">
        <v>159</v>
      </c>
      <c r="D106" s="62">
        <v>1E-3</v>
      </c>
      <c r="E106" s="62">
        <f t="shared" si="2"/>
        <v>3</v>
      </c>
    </row>
    <row r="107" spans="1:5" x14ac:dyDescent="0.2">
      <c r="A107" s="66" t="s">
        <v>102</v>
      </c>
      <c r="B107" s="62" t="s">
        <v>143</v>
      </c>
      <c r="C107" s="62" t="s">
        <v>159</v>
      </c>
      <c r="D107" s="62">
        <v>9.6000000000000002E-2</v>
      </c>
      <c r="E107" s="62">
        <f t="shared" si="2"/>
        <v>1.0177287669604316</v>
      </c>
    </row>
    <row r="108" spans="1:5" x14ac:dyDescent="0.2">
      <c r="A108" s="66" t="s">
        <v>101</v>
      </c>
      <c r="B108" s="62" t="s">
        <v>143</v>
      </c>
      <c r="C108" s="62" t="s">
        <v>156</v>
      </c>
      <c r="D108" s="62">
        <v>1E-3</v>
      </c>
      <c r="E108" s="62">
        <f t="shared" si="2"/>
        <v>3</v>
      </c>
    </row>
    <row r="109" spans="1:5" x14ac:dyDescent="0.2">
      <c r="A109" s="66" t="s">
        <v>45</v>
      </c>
      <c r="B109" s="62" t="s">
        <v>143</v>
      </c>
      <c r="C109" s="62" t="s">
        <v>156</v>
      </c>
      <c r="D109" s="62">
        <v>1E-3</v>
      </c>
      <c r="E109" s="62">
        <f t="shared" si="2"/>
        <v>3</v>
      </c>
    </row>
  </sheetData>
  <conditionalFormatting sqref="A31:A53">
    <cfRule type="containsText" dxfId="4" priority="2" operator="containsText" text="42">
      <formula>NOT(ISERROR(SEARCH("42",A31)))</formula>
    </cfRule>
  </conditionalFormatting>
  <conditionalFormatting sqref="A85:A107">
    <cfRule type="containsText" dxfId="3" priority="1" operator="containsText" text="42">
      <formula>NOT(ISERROR(SEARCH("42",A85)))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ABA83-54AC-EF4D-8584-EB46BEDA0B25}">
  <dimension ref="A1:F109"/>
  <sheetViews>
    <sheetView workbookViewId="0">
      <selection activeCell="E2" sqref="E2"/>
    </sheetView>
  </sheetViews>
  <sheetFormatPr baseColWidth="10" defaultRowHeight="16" x14ac:dyDescent="0.2"/>
  <cols>
    <col min="1" max="1" width="27.6640625" style="68" bestFit="1" customWidth="1"/>
    <col min="3" max="3" width="11.1640625" bestFit="1" customWidth="1"/>
    <col min="4" max="4" width="15.1640625" bestFit="1" customWidth="1"/>
    <col min="5" max="5" width="14.6640625" bestFit="1" customWidth="1"/>
  </cols>
  <sheetData>
    <row r="1" spans="1:6" x14ac:dyDescent="0.2">
      <c r="A1" s="66" t="s">
        <v>0</v>
      </c>
      <c r="B1" s="62" t="s">
        <v>141</v>
      </c>
      <c r="C1" s="62" t="s">
        <v>154</v>
      </c>
      <c r="D1" s="62" t="s">
        <v>140</v>
      </c>
      <c r="E1" s="63" t="s">
        <v>151</v>
      </c>
      <c r="F1" s="62" t="s">
        <v>228</v>
      </c>
    </row>
    <row r="2" spans="1:6" x14ac:dyDescent="0.2">
      <c r="A2" s="64" t="s">
        <v>99</v>
      </c>
      <c r="B2" s="62" t="s">
        <v>142</v>
      </c>
      <c r="C2" s="62" t="s">
        <v>99</v>
      </c>
      <c r="D2" s="62">
        <v>1E-3</v>
      </c>
      <c r="E2" s="62">
        <f>-LOG10(D2)</f>
        <v>3</v>
      </c>
      <c r="F2" s="62">
        <v>2.7000000000000001E-3</v>
      </c>
    </row>
    <row r="3" spans="1:6" x14ac:dyDescent="0.2">
      <c r="A3" s="66" t="s">
        <v>12</v>
      </c>
      <c r="B3" s="62" t="s">
        <v>142</v>
      </c>
      <c r="C3" s="62" t="s">
        <v>155</v>
      </c>
      <c r="D3" s="62">
        <v>0.96799999999999997</v>
      </c>
      <c r="E3" s="62">
        <f t="shared" ref="E3:E66" si="0">-LOG10(D3)</f>
        <v>1.4124642691606345E-2</v>
      </c>
      <c r="F3" s="62">
        <v>0.98626415099999998</v>
      </c>
    </row>
    <row r="4" spans="1:6" x14ac:dyDescent="0.2">
      <c r="A4" s="66" t="s">
        <v>13</v>
      </c>
      <c r="B4" s="62" t="s">
        <v>142</v>
      </c>
      <c r="C4" s="62" t="s">
        <v>155</v>
      </c>
      <c r="D4" s="62">
        <v>0.89700000000000002</v>
      </c>
      <c r="E4" s="62">
        <f t="shared" si="0"/>
        <v>4.7207556955907906E-2</v>
      </c>
      <c r="F4" s="62">
        <v>0.94976470599999996</v>
      </c>
    </row>
    <row r="5" spans="1:6" x14ac:dyDescent="0.2">
      <c r="A5" s="66" t="s">
        <v>18</v>
      </c>
      <c r="B5" s="62" t="s">
        <v>142</v>
      </c>
      <c r="C5" s="62" t="s">
        <v>155</v>
      </c>
      <c r="D5" s="62">
        <v>0.112</v>
      </c>
      <c r="E5" s="62">
        <f t="shared" si="0"/>
        <v>0.9507819773298184</v>
      </c>
      <c r="F5" s="62">
        <v>0.183272727</v>
      </c>
    </row>
    <row r="6" spans="1:6" x14ac:dyDescent="0.2">
      <c r="A6" s="66" t="s">
        <v>33</v>
      </c>
      <c r="B6" s="62" t="s">
        <v>142</v>
      </c>
      <c r="C6" s="62" t="s">
        <v>155</v>
      </c>
      <c r="D6" s="62">
        <v>0.95299999999999996</v>
      </c>
      <c r="E6" s="62">
        <f t="shared" si="0"/>
        <v>2.090709936167361E-2</v>
      </c>
      <c r="F6" s="62">
        <v>0.98626415099999998</v>
      </c>
    </row>
    <row r="7" spans="1:6" x14ac:dyDescent="0.2">
      <c r="A7" s="66" t="s">
        <v>30</v>
      </c>
      <c r="B7" s="62" t="s">
        <v>142</v>
      </c>
      <c r="C7" s="62" t="s">
        <v>155</v>
      </c>
      <c r="D7" s="62">
        <v>0.32600000000000001</v>
      </c>
      <c r="E7" s="62">
        <f t="shared" si="0"/>
        <v>0.48678239993206096</v>
      </c>
      <c r="F7" s="62">
        <v>0.48899999999999999</v>
      </c>
    </row>
    <row r="8" spans="1:6" x14ac:dyDescent="0.2">
      <c r="A8" s="66" t="s">
        <v>100</v>
      </c>
      <c r="B8" s="62" t="s">
        <v>142</v>
      </c>
      <c r="C8" s="62" t="s">
        <v>155</v>
      </c>
      <c r="D8" s="62">
        <v>0.13300000000000001</v>
      </c>
      <c r="E8" s="62">
        <f t="shared" si="0"/>
        <v>0.87614835903291421</v>
      </c>
      <c r="F8" s="62">
        <v>0.21123529399999999</v>
      </c>
    </row>
    <row r="9" spans="1:6" x14ac:dyDescent="0.2">
      <c r="A9" s="66" t="s">
        <v>23</v>
      </c>
      <c r="B9" s="62" t="s">
        <v>142</v>
      </c>
      <c r="C9" s="62" t="s">
        <v>158</v>
      </c>
      <c r="D9" s="62">
        <v>0.53100000000000003</v>
      </c>
      <c r="E9" s="62">
        <f t="shared" si="0"/>
        <v>0.2749054789185309</v>
      </c>
      <c r="F9" s="62">
        <v>0.69936585399999995</v>
      </c>
    </row>
    <row r="10" spans="1:6" x14ac:dyDescent="0.2">
      <c r="A10" s="66" t="s">
        <v>128</v>
      </c>
      <c r="B10" s="62" t="s">
        <v>142</v>
      </c>
      <c r="C10" s="62" t="s">
        <v>158</v>
      </c>
      <c r="D10" s="62">
        <v>0.64200000000000002</v>
      </c>
      <c r="E10" s="62">
        <f t="shared" si="0"/>
        <v>0.19246497193114673</v>
      </c>
      <c r="F10" s="62">
        <v>0.78790909099999995</v>
      </c>
    </row>
    <row r="11" spans="1:6" x14ac:dyDescent="0.2">
      <c r="A11" s="66" t="s">
        <v>29</v>
      </c>
      <c r="B11" s="62" t="s">
        <v>142</v>
      </c>
      <c r="C11" s="62" t="s">
        <v>158</v>
      </c>
      <c r="D11" s="62">
        <v>0.35</v>
      </c>
      <c r="E11" s="62">
        <f t="shared" si="0"/>
        <v>0.45593195564972439</v>
      </c>
      <c r="F11" s="62">
        <v>0.51015789499999997</v>
      </c>
    </row>
    <row r="12" spans="1:6" x14ac:dyDescent="0.2">
      <c r="A12" s="66" t="s">
        <v>28</v>
      </c>
      <c r="B12" s="62" t="s">
        <v>142</v>
      </c>
      <c r="C12" s="62" t="s">
        <v>158</v>
      </c>
      <c r="D12" s="62">
        <v>2.5999999999999999E-2</v>
      </c>
      <c r="E12" s="62">
        <f t="shared" si="0"/>
        <v>1.585026652029182</v>
      </c>
      <c r="F12" s="62">
        <v>5.6160000000000002E-2</v>
      </c>
    </row>
    <row r="13" spans="1:6" x14ac:dyDescent="0.2">
      <c r="A13" s="66" t="s">
        <v>25</v>
      </c>
      <c r="B13" s="62" t="s">
        <v>142</v>
      </c>
      <c r="C13" s="62" t="s">
        <v>158</v>
      </c>
      <c r="D13" s="62">
        <v>7.1999999999999995E-2</v>
      </c>
      <c r="E13" s="62">
        <f t="shared" si="0"/>
        <v>1.1426675035687315</v>
      </c>
      <c r="F13" s="62">
        <v>0.12541935500000001</v>
      </c>
    </row>
    <row r="14" spans="1:6" x14ac:dyDescent="0.2">
      <c r="A14" s="66" t="s">
        <v>24</v>
      </c>
      <c r="B14" s="62" t="s">
        <v>142</v>
      </c>
      <c r="C14" s="62" t="s">
        <v>158</v>
      </c>
      <c r="D14" s="62">
        <v>8.7999999999999995E-2</v>
      </c>
      <c r="E14" s="62">
        <f t="shared" si="0"/>
        <v>1.0555173278498313</v>
      </c>
      <c r="F14" s="62">
        <v>0.14849999999999999</v>
      </c>
    </row>
    <row r="15" spans="1:6" x14ac:dyDescent="0.2">
      <c r="A15" s="66" t="s">
        <v>38</v>
      </c>
      <c r="B15" s="62" t="s">
        <v>142</v>
      </c>
      <c r="C15" s="62" t="s">
        <v>158</v>
      </c>
      <c r="D15" s="62">
        <v>0.873</v>
      </c>
      <c r="E15" s="62">
        <f t="shared" si="0"/>
        <v>5.8985756294430272E-2</v>
      </c>
      <c r="F15" s="62">
        <v>0.94284000000000001</v>
      </c>
    </row>
    <row r="16" spans="1:6" x14ac:dyDescent="0.2">
      <c r="A16" s="66" t="s">
        <v>39</v>
      </c>
      <c r="B16" s="62" t="s">
        <v>142</v>
      </c>
      <c r="C16" s="62" t="s">
        <v>158</v>
      </c>
      <c r="D16" s="62">
        <v>6.8000000000000005E-2</v>
      </c>
      <c r="E16" s="62">
        <f t="shared" si="0"/>
        <v>1.1674910872937636</v>
      </c>
      <c r="F16" s="62">
        <v>0.12239999999999999</v>
      </c>
    </row>
    <row r="17" spans="1:6" x14ac:dyDescent="0.2">
      <c r="A17" s="66" t="s">
        <v>126</v>
      </c>
      <c r="B17" s="62" t="s">
        <v>142</v>
      </c>
      <c r="C17" s="62" t="s">
        <v>158</v>
      </c>
      <c r="D17" s="62">
        <v>0.629</v>
      </c>
      <c r="E17" s="62">
        <f t="shared" si="0"/>
        <v>0.20134935455473107</v>
      </c>
      <c r="F17" s="62">
        <v>0.78790909099999995</v>
      </c>
    </row>
    <row r="18" spans="1:6" x14ac:dyDescent="0.2">
      <c r="A18" s="66" t="s">
        <v>127</v>
      </c>
      <c r="B18" s="62" t="s">
        <v>142</v>
      </c>
      <c r="C18" s="62" t="s">
        <v>158</v>
      </c>
      <c r="D18" s="62">
        <v>0.81</v>
      </c>
      <c r="E18" s="62">
        <f t="shared" si="0"/>
        <v>9.1514981121350217E-2</v>
      </c>
      <c r="F18" s="62">
        <v>0.89265306099999997</v>
      </c>
    </row>
    <row r="19" spans="1:6" x14ac:dyDescent="0.2">
      <c r="A19" s="67" t="s">
        <v>59</v>
      </c>
      <c r="B19" s="62" t="s">
        <v>142</v>
      </c>
      <c r="C19" s="62" t="s">
        <v>157</v>
      </c>
      <c r="D19" s="65">
        <v>1E-3</v>
      </c>
      <c r="E19" s="62">
        <f t="shared" si="0"/>
        <v>3</v>
      </c>
      <c r="F19" s="62">
        <v>2.7000000000000001E-3</v>
      </c>
    </row>
    <row r="20" spans="1:6" x14ac:dyDescent="0.2">
      <c r="A20" s="67" t="s">
        <v>52</v>
      </c>
      <c r="B20" s="62" t="s">
        <v>142</v>
      </c>
      <c r="C20" s="62" t="s">
        <v>157</v>
      </c>
      <c r="D20" s="65">
        <v>1E-3</v>
      </c>
      <c r="E20" s="62">
        <f t="shared" si="0"/>
        <v>3</v>
      </c>
      <c r="F20" s="62">
        <v>2.7000000000000001E-3</v>
      </c>
    </row>
    <row r="21" spans="1:6" x14ac:dyDescent="0.2">
      <c r="A21" s="67" t="s">
        <v>57</v>
      </c>
      <c r="B21" s="62" t="s">
        <v>142</v>
      </c>
      <c r="C21" s="62" t="s">
        <v>157</v>
      </c>
      <c r="D21" s="65">
        <v>0.245</v>
      </c>
      <c r="E21" s="62">
        <f t="shared" si="0"/>
        <v>0.61083391563546752</v>
      </c>
      <c r="F21" s="62">
        <v>0.378</v>
      </c>
    </row>
    <row r="22" spans="1:6" x14ac:dyDescent="0.2">
      <c r="A22" s="67" t="s">
        <v>56</v>
      </c>
      <c r="B22" s="62" t="s">
        <v>142</v>
      </c>
      <c r="C22" s="62" t="s">
        <v>157</v>
      </c>
      <c r="D22" s="65">
        <v>4.4999999999999998E-2</v>
      </c>
      <c r="E22" s="62">
        <f t="shared" si="0"/>
        <v>1.3467874862246563</v>
      </c>
      <c r="F22" s="62">
        <v>8.5655172000000002E-2</v>
      </c>
    </row>
    <row r="23" spans="1:6" x14ac:dyDescent="0.2">
      <c r="A23" s="67" t="s">
        <v>55</v>
      </c>
      <c r="B23" s="62" t="s">
        <v>142</v>
      </c>
      <c r="C23" s="62" t="s">
        <v>157</v>
      </c>
      <c r="D23" s="65">
        <v>1E-3</v>
      </c>
      <c r="E23" s="62">
        <f t="shared" si="0"/>
        <v>3</v>
      </c>
      <c r="F23" s="62">
        <v>2.7000000000000001E-3</v>
      </c>
    </row>
    <row r="24" spans="1:6" x14ac:dyDescent="0.2">
      <c r="A24" s="67" t="s">
        <v>58</v>
      </c>
      <c r="B24" s="62" t="s">
        <v>142</v>
      </c>
      <c r="C24" s="62" t="s">
        <v>157</v>
      </c>
      <c r="D24" s="65">
        <v>2E-3</v>
      </c>
      <c r="E24" s="62">
        <f t="shared" si="0"/>
        <v>2.6989700043360187</v>
      </c>
      <c r="F24" s="62">
        <v>5.1428569999999998E-3</v>
      </c>
    </row>
    <row r="25" spans="1:6" x14ac:dyDescent="0.2">
      <c r="A25" s="67" t="s">
        <v>47</v>
      </c>
      <c r="B25" s="62" t="s">
        <v>142</v>
      </c>
      <c r="C25" s="62" t="s">
        <v>157</v>
      </c>
      <c r="D25" s="65">
        <v>0.01</v>
      </c>
      <c r="E25" s="62">
        <f t="shared" si="0"/>
        <v>2</v>
      </c>
      <c r="F25" s="62">
        <v>2.3478261E-2</v>
      </c>
    </row>
    <row r="26" spans="1:6" x14ac:dyDescent="0.2">
      <c r="A26" s="67" t="s">
        <v>48</v>
      </c>
      <c r="B26" s="62" t="s">
        <v>142</v>
      </c>
      <c r="C26" s="62" t="s">
        <v>157</v>
      </c>
      <c r="D26" s="65">
        <v>0.71499999999999997</v>
      </c>
      <c r="E26" s="62">
        <f t="shared" si="0"/>
        <v>0.14569395819891939</v>
      </c>
      <c r="F26" s="62">
        <v>0.84217021299999995</v>
      </c>
    </row>
    <row r="27" spans="1:6" x14ac:dyDescent="0.2">
      <c r="A27" s="67" t="s">
        <v>49</v>
      </c>
      <c r="B27" s="62" t="s">
        <v>142</v>
      </c>
      <c r="C27" s="62" t="s">
        <v>157</v>
      </c>
      <c r="D27" s="65">
        <v>1E-3</v>
      </c>
      <c r="E27" s="62">
        <f t="shared" si="0"/>
        <v>3</v>
      </c>
      <c r="F27" s="62">
        <v>2.7000000000000001E-3</v>
      </c>
    </row>
    <row r="28" spans="1:6" x14ac:dyDescent="0.2">
      <c r="A28" s="67" t="s">
        <v>50</v>
      </c>
      <c r="B28" s="62" t="s">
        <v>142</v>
      </c>
      <c r="C28" s="62" t="s">
        <v>157</v>
      </c>
      <c r="D28" s="65">
        <v>1.9E-2</v>
      </c>
      <c r="E28" s="62">
        <f t="shared" si="0"/>
        <v>1.7212463990471711</v>
      </c>
      <c r="F28" s="62">
        <v>4.2750000000000003E-2</v>
      </c>
    </row>
    <row r="29" spans="1:6" x14ac:dyDescent="0.2">
      <c r="A29" s="67" t="s">
        <v>53</v>
      </c>
      <c r="B29" s="62" t="s">
        <v>142</v>
      </c>
      <c r="C29" s="62" t="s">
        <v>157</v>
      </c>
      <c r="D29" s="65">
        <v>0.626</v>
      </c>
      <c r="E29" s="62">
        <f t="shared" si="0"/>
        <v>0.20342566678957033</v>
      </c>
      <c r="F29" s="62">
        <v>0.78790909099999995</v>
      </c>
    </row>
    <row r="30" spans="1:6" x14ac:dyDescent="0.2">
      <c r="A30" s="66" t="s">
        <v>124</v>
      </c>
      <c r="B30" s="62" t="s">
        <v>142</v>
      </c>
      <c r="C30" s="62" t="s">
        <v>159</v>
      </c>
      <c r="D30" s="62">
        <v>3.0000000000000001E-3</v>
      </c>
      <c r="E30" s="62">
        <f t="shared" si="0"/>
        <v>2.5228787452803374</v>
      </c>
      <c r="F30" s="62">
        <v>7.3636359999999998E-3</v>
      </c>
    </row>
    <row r="31" spans="1:6" x14ac:dyDescent="0.2">
      <c r="A31" s="66" t="s">
        <v>123</v>
      </c>
      <c r="B31" s="62" t="s">
        <v>142</v>
      </c>
      <c r="C31" s="62" t="s">
        <v>159</v>
      </c>
      <c r="D31" s="62">
        <v>1</v>
      </c>
      <c r="E31" s="62">
        <f t="shared" si="0"/>
        <v>0</v>
      </c>
      <c r="F31" s="62">
        <v>1</v>
      </c>
    </row>
    <row r="32" spans="1:6" x14ac:dyDescent="0.2">
      <c r="A32" s="66" t="s">
        <v>122</v>
      </c>
      <c r="B32" s="62" t="s">
        <v>142</v>
      </c>
      <c r="C32" s="62" t="s">
        <v>159</v>
      </c>
      <c r="D32" s="62">
        <v>0.80500000000000005</v>
      </c>
      <c r="E32" s="62">
        <f t="shared" si="0"/>
        <v>9.4204119632131461E-2</v>
      </c>
      <c r="F32" s="62">
        <v>0.89265306099999997</v>
      </c>
    </row>
    <row r="33" spans="1:6" x14ac:dyDescent="0.2">
      <c r="A33" s="66" t="s">
        <v>121</v>
      </c>
      <c r="B33" s="62" t="s">
        <v>142</v>
      </c>
      <c r="C33" s="62" t="s">
        <v>159</v>
      </c>
      <c r="D33" s="62">
        <v>1E-3</v>
      </c>
      <c r="E33" s="62">
        <f t="shared" si="0"/>
        <v>3</v>
      </c>
      <c r="F33" s="62">
        <v>2.7000000000000001E-3</v>
      </c>
    </row>
    <row r="34" spans="1:6" x14ac:dyDescent="0.2">
      <c r="A34" s="66" t="s">
        <v>120</v>
      </c>
      <c r="B34" s="62" t="s">
        <v>142</v>
      </c>
      <c r="C34" s="62" t="s">
        <v>159</v>
      </c>
      <c r="D34" s="62">
        <v>1E-3</v>
      </c>
      <c r="E34" s="62">
        <f t="shared" si="0"/>
        <v>3</v>
      </c>
      <c r="F34" s="62">
        <v>2.7000000000000001E-3</v>
      </c>
    </row>
    <row r="35" spans="1:6" x14ac:dyDescent="0.2">
      <c r="A35" s="66" t="s">
        <v>119</v>
      </c>
      <c r="B35" s="62" t="s">
        <v>142</v>
      </c>
      <c r="C35" s="62" t="s">
        <v>159</v>
      </c>
      <c r="D35" s="62">
        <v>0.40300000000000002</v>
      </c>
      <c r="E35" s="62">
        <f t="shared" si="0"/>
        <v>0.39469495385889053</v>
      </c>
      <c r="F35" s="62">
        <v>0.55800000000000005</v>
      </c>
    </row>
    <row r="36" spans="1:6" x14ac:dyDescent="0.2">
      <c r="A36" s="66" t="s">
        <v>118</v>
      </c>
      <c r="B36" s="62" t="s">
        <v>142</v>
      </c>
      <c r="C36" s="62" t="s">
        <v>159</v>
      </c>
      <c r="D36" s="62">
        <v>1E-3</v>
      </c>
      <c r="E36" s="62">
        <f t="shared" si="0"/>
        <v>3</v>
      </c>
      <c r="F36" s="62">
        <v>2.7000000000000001E-3</v>
      </c>
    </row>
    <row r="37" spans="1:6" x14ac:dyDescent="0.2">
      <c r="A37" s="66" t="s">
        <v>117</v>
      </c>
      <c r="B37" s="62" t="s">
        <v>142</v>
      </c>
      <c r="C37" s="62" t="s">
        <v>159</v>
      </c>
      <c r="D37" s="62">
        <v>2.8000000000000001E-2</v>
      </c>
      <c r="E37" s="62">
        <f t="shared" si="0"/>
        <v>1.5528419686577808</v>
      </c>
      <c r="F37" s="62">
        <v>5.8153846000000002E-2</v>
      </c>
    </row>
    <row r="38" spans="1:6" x14ac:dyDescent="0.2">
      <c r="A38" s="66" t="s">
        <v>116</v>
      </c>
      <c r="B38" s="62" t="s">
        <v>142</v>
      </c>
      <c r="C38" s="62" t="s">
        <v>159</v>
      </c>
      <c r="D38" s="62">
        <v>1E-3</v>
      </c>
      <c r="E38" s="62">
        <f t="shared" si="0"/>
        <v>3</v>
      </c>
      <c r="F38" s="62">
        <v>2.7000000000000001E-3</v>
      </c>
    </row>
    <row r="39" spans="1:6" x14ac:dyDescent="0.2">
      <c r="A39" s="66" t="s">
        <v>115</v>
      </c>
      <c r="B39" s="62" t="s">
        <v>142</v>
      </c>
      <c r="C39" s="62" t="s">
        <v>159</v>
      </c>
      <c r="D39" s="62">
        <v>1E-3</v>
      </c>
      <c r="E39" s="62">
        <f t="shared" si="0"/>
        <v>3</v>
      </c>
      <c r="F39" s="62">
        <v>2.7000000000000001E-3</v>
      </c>
    </row>
    <row r="40" spans="1:6" x14ac:dyDescent="0.2">
      <c r="A40" s="66" t="s">
        <v>114</v>
      </c>
      <c r="B40" s="62" t="s">
        <v>142</v>
      </c>
      <c r="C40" s="62" t="s">
        <v>159</v>
      </c>
      <c r="D40" s="62">
        <v>1E-3</v>
      </c>
      <c r="E40" s="62">
        <f t="shared" si="0"/>
        <v>3</v>
      </c>
      <c r="F40" s="62">
        <v>2.7000000000000001E-3</v>
      </c>
    </row>
    <row r="41" spans="1:6" x14ac:dyDescent="0.2">
      <c r="A41" s="66" t="s">
        <v>113</v>
      </c>
      <c r="B41" s="62" t="s">
        <v>142</v>
      </c>
      <c r="C41" s="62" t="s">
        <v>159</v>
      </c>
      <c r="D41" s="62">
        <v>0.73299999999999998</v>
      </c>
      <c r="E41" s="62">
        <f t="shared" si="0"/>
        <v>0.13489602535887207</v>
      </c>
      <c r="F41" s="62">
        <v>0.84217021299999995</v>
      </c>
    </row>
    <row r="42" spans="1:6" x14ac:dyDescent="0.2">
      <c r="A42" s="66" t="s">
        <v>112</v>
      </c>
      <c r="B42" s="62" t="s">
        <v>142</v>
      </c>
      <c r="C42" s="62" t="s">
        <v>159</v>
      </c>
      <c r="D42" s="62">
        <v>1E-3</v>
      </c>
      <c r="E42" s="62">
        <f t="shared" si="0"/>
        <v>3</v>
      </c>
      <c r="F42" s="62">
        <v>2.7000000000000001E-3</v>
      </c>
    </row>
    <row r="43" spans="1:6" x14ac:dyDescent="0.2">
      <c r="A43" s="66" t="s">
        <v>111</v>
      </c>
      <c r="B43" s="62" t="s">
        <v>142</v>
      </c>
      <c r="C43" s="62" t="s">
        <v>159</v>
      </c>
      <c r="D43" s="62">
        <v>4.5999999999999999E-2</v>
      </c>
      <c r="E43" s="62">
        <f t="shared" si="0"/>
        <v>1.3372421683184259</v>
      </c>
      <c r="F43" s="62">
        <v>8.5655172000000002E-2</v>
      </c>
    </row>
    <row r="44" spans="1:6" x14ac:dyDescent="0.2">
      <c r="A44" s="66" t="s">
        <v>110</v>
      </c>
      <c r="B44" s="62" t="s">
        <v>142</v>
      </c>
      <c r="C44" s="62" t="s">
        <v>159</v>
      </c>
      <c r="D44" s="62">
        <v>1E-3</v>
      </c>
      <c r="E44" s="62">
        <f t="shared" si="0"/>
        <v>3</v>
      </c>
      <c r="F44" s="62">
        <v>2.7000000000000001E-3</v>
      </c>
    </row>
    <row r="45" spans="1:6" x14ac:dyDescent="0.2">
      <c r="A45" s="66" t="s">
        <v>109</v>
      </c>
      <c r="B45" s="62" t="s">
        <v>142</v>
      </c>
      <c r="C45" s="62" t="s">
        <v>159</v>
      </c>
      <c r="D45" s="62">
        <v>0.71799999999999997</v>
      </c>
      <c r="E45" s="62">
        <f t="shared" si="0"/>
        <v>0.14387555575769967</v>
      </c>
      <c r="F45" s="62">
        <v>0.84217021299999995</v>
      </c>
    </row>
    <row r="46" spans="1:6" x14ac:dyDescent="0.2">
      <c r="A46" s="66" t="s">
        <v>108</v>
      </c>
      <c r="B46" s="62" t="s">
        <v>142</v>
      </c>
      <c r="C46" s="62" t="s">
        <v>159</v>
      </c>
      <c r="D46" s="62">
        <v>1E-3</v>
      </c>
      <c r="E46" s="62">
        <f t="shared" si="0"/>
        <v>3</v>
      </c>
      <c r="F46" s="62">
        <v>2.7000000000000001E-3</v>
      </c>
    </row>
    <row r="47" spans="1:6" x14ac:dyDescent="0.2">
      <c r="A47" s="66" t="s">
        <v>107</v>
      </c>
      <c r="B47" s="62" t="s">
        <v>142</v>
      </c>
      <c r="C47" s="62" t="s">
        <v>159</v>
      </c>
      <c r="D47" s="62">
        <v>1E-3</v>
      </c>
      <c r="E47" s="62">
        <f t="shared" si="0"/>
        <v>3</v>
      </c>
      <c r="F47" s="62">
        <v>2.7000000000000001E-3</v>
      </c>
    </row>
    <row r="48" spans="1:6" x14ac:dyDescent="0.2">
      <c r="A48" s="66" t="s">
        <v>106</v>
      </c>
      <c r="B48" s="62" t="s">
        <v>142</v>
      </c>
      <c r="C48" s="62" t="s">
        <v>159</v>
      </c>
      <c r="D48" s="62">
        <v>1E-3</v>
      </c>
      <c r="E48" s="62">
        <f t="shared" si="0"/>
        <v>3</v>
      </c>
      <c r="F48" s="62">
        <v>2.7000000000000001E-3</v>
      </c>
    </row>
    <row r="49" spans="1:6" x14ac:dyDescent="0.2">
      <c r="A49" s="66" t="s">
        <v>129</v>
      </c>
      <c r="B49" s="62" t="s">
        <v>142</v>
      </c>
      <c r="C49" s="62" t="s">
        <v>159</v>
      </c>
      <c r="D49" s="62">
        <v>0.35899999999999999</v>
      </c>
      <c r="E49" s="62">
        <f t="shared" si="0"/>
        <v>0.44490555142168087</v>
      </c>
      <c r="F49" s="62">
        <v>0.51015789499999997</v>
      </c>
    </row>
    <row r="50" spans="1:6" x14ac:dyDescent="0.2">
      <c r="A50" s="66" t="s">
        <v>104</v>
      </c>
      <c r="B50" s="62" t="s">
        <v>142</v>
      </c>
      <c r="C50" s="62" t="s">
        <v>159</v>
      </c>
      <c r="D50" s="62">
        <v>1E-3</v>
      </c>
      <c r="E50" s="62">
        <f t="shared" si="0"/>
        <v>3</v>
      </c>
      <c r="F50" s="62">
        <v>2.7000000000000001E-3</v>
      </c>
    </row>
    <row r="51" spans="1:6" x14ac:dyDescent="0.2">
      <c r="A51" s="66" t="s">
        <v>105</v>
      </c>
      <c r="B51" s="62" t="s">
        <v>142</v>
      </c>
      <c r="C51" s="62" t="s">
        <v>159</v>
      </c>
      <c r="D51" s="62">
        <v>3.4000000000000002E-2</v>
      </c>
      <c r="E51" s="62">
        <f t="shared" si="0"/>
        <v>1.4685210829577449</v>
      </c>
      <c r="F51" s="62">
        <v>6.8000000000000005E-2</v>
      </c>
    </row>
    <row r="52" spans="1:6" x14ac:dyDescent="0.2">
      <c r="A52" s="66" t="s">
        <v>103</v>
      </c>
      <c r="B52" s="62" t="s">
        <v>142</v>
      </c>
      <c r="C52" s="62" t="s">
        <v>159</v>
      </c>
      <c r="D52" s="62">
        <v>1E-3</v>
      </c>
      <c r="E52" s="62">
        <f t="shared" si="0"/>
        <v>3</v>
      </c>
      <c r="F52" s="62">
        <v>2.7000000000000001E-3</v>
      </c>
    </row>
    <row r="53" spans="1:6" x14ac:dyDescent="0.2">
      <c r="A53" s="66" t="s">
        <v>102</v>
      </c>
      <c r="B53" s="62" t="s">
        <v>142</v>
      </c>
      <c r="C53" s="62" t="s">
        <v>159</v>
      </c>
      <c r="D53" s="62">
        <v>0.41699999999999998</v>
      </c>
      <c r="E53" s="62">
        <f t="shared" si="0"/>
        <v>0.37986394502624249</v>
      </c>
      <c r="F53" s="62">
        <v>0.56294999999999995</v>
      </c>
    </row>
    <row r="54" spans="1:6" x14ac:dyDescent="0.2">
      <c r="A54" s="66" t="s">
        <v>101</v>
      </c>
      <c r="B54" s="62" t="s">
        <v>142</v>
      </c>
      <c r="C54" s="62" t="s">
        <v>156</v>
      </c>
      <c r="D54" s="62">
        <v>1E-3</v>
      </c>
      <c r="E54" s="62">
        <f t="shared" si="0"/>
        <v>3</v>
      </c>
      <c r="F54" s="62">
        <v>2.7000000000000001E-3</v>
      </c>
    </row>
    <row r="55" spans="1:6" x14ac:dyDescent="0.2">
      <c r="A55" s="66" t="s">
        <v>45</v>
      </c>
      <c r="B55" s="62" t="s">
        <v>142</v>
      </c>
      <c r="C55" s="62" t="s">
        <v>156</v>
      </c>
      <c r="D55" s="62">
        <v>1E-3</v>
      </c>
      <c r="E55" s="62">
        <f t="shared" si="0"/>
        <v>3</v>
      </c>
      <c r="F55" s="62">
        <v>2.7000000000000001E-3</v>
      </c>
    </row>
    <row r="56" spans="1:6" x14ac:dyDescent="0.2">
      <c r="A56" s="64" t="s">
        <v>99</v>
      </c>
      <c r="B56" s="62" t="s">
        <v>143</v>
      </c>
      <c r="C56" s="62" t="s">
        <v>99</v>
      </c>
      <c r="D56" s="62">
        <v>1E-3</v>
      </c>
      <c r="E56" s="62">
        <f t="shared" si="0"/>
        <v>3</v>
      </c>
    </row>
    <row r="57" spans="1:6" x14ac:dyDescent="0.2">
      <c r="A57" s="66" t="s">
        <v>12</v>
      </c>
      <c r="B57" s="62" t="s">
        <v>143</v>
      </c>
      <c r="C57" s="62" t="s">
        <v>155</v>
      </c>
      <c r="D57" s="62">
        <v>0.90700000000000003</v>
      </c>
      <c r="E57" s="62">
        <f t="shared" si="0"/>
        <v>4.2392712939904729E-2</v>
      </c>
    </row>
    <row r="58" spans="1:6" x14ac:dyDescent="0.2">
      <c r="A58" s="66" t="s">
        <v>13</v>
      </c>
      <c r="B58" s="62" t="s">
        <v>143</v>
      </c>
      <c r="C58" s="62" t="s">
        <v>155</v>
      </c>
      <c r="D58" s="62">
        <v>0.91200000000000003</v>
      </c>
      <c r="E58" s="62">
        <f t="shared" si="0"/>
        <v>4.0005161671583807E-2</v>
      </c>
    </row>
    <row r="59" spans="1:6" x14ac:dyDescent="0.2">
      <c r="A59" s="66" t="s">
        <v>18</v>
      </c>
      <c r="B59" s="62" t="s">
        <v>143</v>
      </c>
      <c r="C59" s="62" t="s">
        <v>155</v>
      </c>
      <c r="D59" s="62">
        <v>0.435</v>
      </c>
      <c r="E59" s="62">
        <f t="shared" si="0"/>
        <v>0.36151074304536268</v>
      </c>
    </row>
    <row r="60" spans="1:6" x14ac:dyDescent="0.2">
      <c r="A60" s="66" t="s">
        <v>33</v>
      </c>
      <c r="B60" s="62" t="s">
        <v>143</v>
      </c>
      <c r="C60" s="62" t="s">
        <v>155</v>
      </c>
      <c r="D60" s="62">
        <v>0.73499999999999999</v>
      </c>
      <c r="E60" s="62">
        <f t="shared" si="0"/>
        <v>0.13371266091580511</v>
      </c>
    </row>
    <row r="61" spans="1:6" x14ac:dyDescent="0.2">
      <c r="A61" s="66" t="s">
        <v>30</v>
      </c>
      <c r="B61" s="62" t="s">
        <v>143</v>
      </c>
      <c r="C61" s="62" t="s">
        <v>155</v>
      </c>
      <c r="D61" s="62">
        <v>0.54400000000000004</v>
      </c>
      <c r="E61" s="62">
        <f t="shared" si="0"/>
        <v>0.26440110030182007</v>
      </c>
    </row>
    <row r="62" spans="1:6" x14ac:dyDescent="0.2">
      <c r="A62" s="66" t="s">
        <v>100</v>
      </c>
      <c r="B62" s="62" t="s">
        <v>143</v>
      </c>
      <c r="C62" s="62" t="s">
        <v>155</v>
      </c>
      <c r="D62" s="62">
        <v>0.11899999999999999</v>
      </c>
      <c r="E62" s="62">
        <f t="shared" si="0"/>
        <v>0.9244530386074693</v>
      </c>
    </row>
    <row r="63" spans="1:6" x14ac:dyDescent="0.2">
      <c r="A63" s="66" t="s">
        <v>23</v>
      </c>
      <c r="B63" s="62" t="s">
        <v>143</v>
      </c>
      <c r="C63" s="62" t="s">
        <v>158</v>
      </c>
      <c r="D63" s="62">
        <v>0.68</v>
      </c>
      <c r="E63" s="62">
        <f t="shared" si="0"/>
        <v>0.16749108729376366</v>
      </c>
    </row>
    <row r="64" spans="1:6" x14ac:dyDescent="0.2">
      <c r="A64" s="66" t="s">
        <v>128</v>
      </c>
      <c r="B64" s="62" t="s">
        <v>143</v>
      </c>
      <c r="C64" s="62" t="s">
        <v>158</v>
      </c>
      <c r="D64" s="62">
        <v>0.58199999999999996</v>
      </c>
      <c r="E64" s="62">
        <f t="shared" si="0"/>
        <v>0.23507701535011155</v>
      </c>
    </row>
    <row r="65" spans="1:5" x14ac:dyDescent="0.2">
      <c r="A65" s="66" t="s">
        <v>29</v>
      </c>
      <c r="B65" s="62" t="s">
        <v>143</v>
      </c>
      <c r="C65" s="62" t="s">
        <v>158</v>
      </c>
      <c r="D65" s="62">
        <v>0.90100000000000002</v>
      </c>
      <c r="E65" s="62">
        <f t="shared" si="0"/>
        <v>4.5275209020937013E-2</v>
      </c>
    </row>
    <row r="66" spans="1:5" x14ac:dyDescent="0.2">
      <c r="A66" s="66" t="s">
        <v>28</v>
      </c>
      <c r="B66" s="62" t="s">
        <v>143</v>
      </c>
      <c r="C66" s="62" t="s">
        <v>158</v>
      </c>
      <c r="D66" s="62">
        <v>0.77400000000000002</v>
      </c>
      <c r="E66" s="62">
        <f t="shared" si="0"/>
        <v>0.11125903931710739</v>
      </c>
    </row>
    <row r="67" spans="1:5" x14ac:dyDescent="0.2">
      <c r="A67" s="66" t="s">
        <v>25</v>
      </c>
      <c r="B67" s="62" t="s">
        <v>143</v>
      </c>
      <c r="C67" s="62" t="s">
        <v>158</v>
      </c>
      <c r="D67" s="62">
        <v>0.309</v>
      </c>
      <c r="E67" s="62">
        <f t="shared" ref="E67:E109" si="1">-LOG10(D67)</f>
        <v>0.51004152057516539</v>
      </c>
    </row>
    <row r="68" spans="1:5" x14ac:dyDescent="0.2">
      <c r="A68" s="66" t="s">
        <v>24</v>
      </c>
      <c r="B68" s="62" t="s">
        <v>143</v>
      </c>
      <c r="C68" s="62" t="s">
        <v>158</v>
      </c>
      <c r="D68" s="62">
        <v>0.39400000000000002</v>
      </c>
      <c r="E68" s="62">
        <f t="shared" si="1"/>
        <v>0.40450377817442584</v>
      </c>
    </row>
    <row r="69" spans="1:5" x14ac:dyDescent="0.2">
      <c r="A69" s="66" t="s">
        <v>38</v>
      </c>
      <c r="B69" s="62" t="s">
        <v>143</v>
      </c>
      <c r="C69" s="62" t="s">
        <v>158</v>
      </c>
      <c r="D69" s="62">
        <v>0.44600000000000001</v>
      </c>
      <c r="E69" s="62">
        <f t="shared" si="1"/>
        <v>0.35066514128785814</v>
      </c>
    </row>
    <row r="70" spans="1:5" x14ac:dyDescent="0.2">
      <c r="A70" s="66" t="s">
        <v>39</v>
      </c>
      <c r="B70" s="62" t="s">
        <v>143</v>
      </c>
      <c r="C70" s="62" t="s">
        <v>158</v>
      </c>
      <c r="D70" s="62">
        <v>8.5000000000000006E-2</v>
      </c>
      <c r="E70" s="62">
        <f t="shared" si="1"/>
        <v>1.0705810742857071</v>
      </c>
    </row>
    <row r="71" spans="1:5" x14ac:dyDescent="0.2">
      <c r="A71" s="66" t="s">
        <v>126</v>
      </c>
      <c r="B71" s="62" t="s">
        <v>143</v>
      </c>
      <c r="C71" s="62" t="s">
        <v>158</v>
      </c>
      <c r="D71" s="62">
        <v>0.84599999999999997</v>
      </c>
      <c r="E71" s="62">
        <f t="shared" si="1"/>
        <v>7.2629636960976476E-2</v>
      </c>
    </row>
    <row r="72" spans="1:5" x14ac:dyDescent="0.2">
      <c r="A72" s="66" t="s">
        <v>127</v>
      </c>
      <c r="B72" s="62" t="s">
        <v>143</v>
      </c>
      <c r="C72" s="62" t="s">
        <v>158</v>
      </c>
      <c r="D72" s="62">
        <v>0.876</v>
      </c>
      <c r="E72" s="62">
        <f t="shared" si="1"/>
        <v>5.7495893831919269E-2</v>
      </c>
    </row>
    <row r="73" spans="1:5" x14ac:dyDescent="0.2">
      <c r="A73" s="67" t="s">
        <v>59</v>
      </c>
      <c r="B73" s="62" t="s">
        <v>143</v>
      </c>
      <c r="C73" s="62" t="s">
        <v>157</v>
      </c>
      <c r="D73" s="65">
        <v>1E-3</v>
      </c>
      <c r="E73" s="62">
        <f t="shared" si="1"/>
        <v>3</v>
      </c>
    </row>
    <row r="74" spans="1:5" x14ac:dyDescent="0.2">
      <c r="A74" s="67" t="s">
        <v>52</v>
      </c>
      <c r="B74" s="62" t="s">
        <v>143</v>
      </c>
      <c r="C74" s="62" t="s">
        <v>157</v>
      </c>
      <c r="D74" s="65">
        <v>1E-3</v>
      </c>
      <c r="E74" s="62">
        <f t="shared" si="1"/>
        <v>3</v>
      </c>
    </row>
    <row r="75" spans="1:5" x14ac:dyDescent="0.2">
      <c r="A75" s="67" t="s">
        <v>57</v>
      </c>
      <c r="B75" s="62" t="s">
        <v>143</v>
      </c>
      <c r="C75" s="62" t="s">
        <v>157</v>
      </c>
      <c r="D75" s="65">
        <v>0.01</v>
      </c>
      <c r="E75" s="62">
        <f t="shared" si="1"/>
        <v>2</v>
      </c>
    </row>
    <row r="76" spans="1:5" x14ac:dyDescent="0.2">
      <c r="A76" s="67" t="s">
        <v>56</v>
      </c>
      <c r="B76" s="62" t="s">
        <v>143</v>
      </c>
      <c r="C76" s="62" t="s">
        <v>157</v>
      </c>
      <c r="D76" s="65">
        <v>0.18</v>
      </c>
      <c r="E76" s="62">
        <f t="shared" si="1"/>
        <v>0.74472749489669399</v>
      </c>
    </row>
    <row r="77" spans="1:5" x14ac:dyDescent="0.2">
      <c r="A77" s="67" t="s">
        <v>55</v>
      </c>
      <c r="B77" s="62" t="s">
        <v>143</v>
      </c>
      <c r="C77" s="62" t="s">
        <v>157</v>
      </c>
      <c r="D77" s="65">
        <v>1E-3</v>
      </c>
      <c r="E77" s="62">
        <f t="shared" si="1"/>
        <v>3</v>
      </c>
    </row>
    <row r="78" spans="1:5" x14ac:dyDescent="0.2">
      <c r="A78" s="67" t="s">
        <v>58</v>
      </c>
      <c r="B78" s="62" t="s">
        <v>143</v>
      </c>
      <c r="C78" s="62" t="s">
        <v>157</v>
      </c>
      <c r="D78" s="65">
        <v>0.57999999999999996</v>
      </c>
      <c r="E78" s="62">
        <f t="shared" si="1"/>
        <v>0.23657200643706275</v>
      </c>
    </row>
    <row r="79" spans="1:5" x14ac:dyDescent="0.2">
      <c r="A79" s="67" t="s">
        <v>47</v>
      </c>
      <c r="B79" s="62" t="s">
        <v>143</v>
      </c>
      <c r="C79" s="62" t="s">
        <v>157</v>
      </c>
      <c r="D79" s="65">
        <v>1E-3</v>
      </c>
      <c r="E79" s="62">
        <f t="shared" si="1"/>
        <v>3</v>
      </c>
    </row>
    <row r="80" spans="1:5" x14ac:dyDescent="0.2">
      <c r="A80" s="67" t="s">
        <v>48</v>
      </c>
      <c r="B80" s="62" t="s">
        <v>143</v>
      </c>
      <c r="C80" s="62" t="s">
        <v>157</v>
      </c>
      <c r="D80" s="65">
        <v>0.33200000000000002</v>
      </c>
      <c r="E80" s="62">
        <f t="shared" si="1"/>
        <v>0.4788619162959637</v>
      </c>
    </row>
    <row r="81" spans="1:5" x14ac:dyDescent="0.2">
      <c r="A81" s="67" t="s">
        <v>49</v>
      </c>
      <c r="B81" s="62" t="s">
        <v>143</v>
      </c>
      <c r="C81" s="62" t="s">
        <v>157</v>
      </c>
      <c r="D81" s="65">
        <v>1E-3</v>
      </c>
      <c r="E81" s="62">
        <f t="shared" si="1"/>
        <v>3</v>
      </c>
    </row>
    <row r="82" spans="1:5" x14ac:dyDescent="0.2">
      <c r="A82" s="67" t="s">
        <v>50</v>
      </c>
      <c r="B82" s="62" t="s">
        <v>143</v>
      </c>
      <c r="C82" s="62" t="s">
        <v>157</v>
      </c>
      <c r="D82" s="65">
        <v>2.3E-2</v>
      </c>
      <c r="E82" s="62">
        <f t="shared" si="1"/>
        <v>1.6382721639824072</v>
      </c>
    </row>
    <row r="83" spans="1:5" x14ac:dyDescent="0.2">
      <c r="A83" s="67" t="s">
        <v>53</v>
      </c>
      <c r="B83" s="62" t="s">
        <v>143</v>
      </c>
      <c r="C83" s="62" t="s">
        <v>157</v>
      </c>
      <c r="D83" s="65">
        <v>3.2000000000000001E-2</v>
      </c>
      <c r="E83" s="62">
        <f t="shared" si="1"/>
        <v>1.494850021680094</v>
      </c>
    </row>
    <row r="84" spans="1:5" x14ac:dyDescent="0.2">
      <c r="A84" s="66" t="s">
        <v>124</v>
      </c>
      <c r="B84" s="62" t="s">
        <v>143</v>
      </c>
      <c r="C84" s="62" t="s">
        <v>159</v>
      </c>
      <c r="D84" s="62">
        <v>2E-3</v>
      </c>
      <c r="E84" s="62">
        <f t="shared" si="1"/>
        <v>2.6989700043360187</v>
      </c>
    </row>
    <row r="85" spans="1:5" x14ac:dyDescent="0.2">
      <c r="A85" s="66" t="s">
        <v>123</v>
      </c>
      <c r="B85" s="62" t="s">
        <v>143</v>
      </c>
      <c r="C85" s="62" t="s">
        <v>159</v>
      </c>
      <c r="D85" s="62">
        <v>6.8000000000000005E-2</v>
      </c>
      <c r="E85" s="62">
        <f t="shared" si="1"/>
        <v>1.1674910872937636</v>
      </c>
    </row>
    <row r="86" spans="1:5" x14ac:dyDescent="0.2">
      <c r="A86" s="66" t="s">
        <v>122</v>
      </c>
      <c r="B86" s="62" t="s">
        <v>143</v>
      </c>
      <c r="C86" s="62" t="s">
        <v>159</v>
      </c>
      <c r="D86" s="62">
        <v>1E-3</v>
      </c>
      <c r="E86" s="62">
        <f t="shared" si="1"/>
        <v>3</v>
      </c>
    </row>
    <row r="87" spans="1:5" x14ac:dyDescent="0.2">
      <c r="A87" s="66" t="s">
        <v>121</v>
      </c>
      <c r="B87" s="62" t="s">
        <v>143</v>
      </c>
      <c r="C87" s="62" t="s">
        <v>159</v>
      </c>
      <c r="D87" s="62">
        <v>2E-3</v>
      </c>
      <c r="E87" s="62">
        <f t="shared" si="1"/>
        <v>2.6989700043360187</v>
      </c>
    </row>
    <row r="88" spans="1:5" x14ac:dyDescent="0.2">
      <c r="A88" s="66" t="s">
        <v>120</v>
      </c>
      <c r="B88" s="62" t="s">
        <v>143</v>
      </c>
      <c r="C88" s="62" t="s">
        <v>159</v>
      </c>
      <c r="D88" s="62">
        <v>1E-3</v>
      </c>
      <c r="E88" s="62">
        <f t="shared" si="1"/>
        <v>3</v>
      </c>
    </row>
    <row r="89" spans="1:5" x14ac:dyDescent="0.2">
      <c r="A89" s="66" t="s">
        <v>119</v>
      </c>
      <c r="B89" s="62" t="s">
        <v>143</v>
      </c>
      <c r="C89" s="62" t="s">
        <v>159</v>
      </c>
      <c r="D89" s="62">
        <v>5.2999999999999999E-2</v>
      </c>
      <c r="E89" s="62">
        <f t="shared" si="1"/>
        <v>1.2757241303992111</v>
      </c>
    </row>
    <row r="90" spans="1:5" x14ac:dyDescent="0.2">
      <c r="A90" s="66" t="s">
        <v>118</v>
      </c>
      <c r="B90" s="62" t="s">
        <v>143</v>
      </c>
      <c r="C90" s="62" t="s">
        <v>159</v>
      </c>
      <c r="D90" s="62">
        <v>1E-3</v>
      </c>
      <c r="E90" s="62">
        <f t="shared" si="1"/>
        <v>3</v>
      </c>
    </row>
    <row r="91" spans="1:5" x14ac:dyDescent="0.2">
      <c r="A91" s="66" t="s">
        <v>117</v>
      </c>
      <c r="B91" s="62" t="s">
        <v>143</v>
      </c>
      <c r="C91" s="62" t="s">
        <v>159</v>
      </c>
      <c r="D91" s="62">
        <v>5.1999999999999998E-2</v>
      </c>
      <c r="E91" s="62">
        <f t="shared" si="1"/>
        <v>1.2839966563652008</v>
      </c>
    </row>
    <row r="92" spans="1:5" x14ac:dyDescent="0.2">
      <c r="A92" s="66" t="s">
        <v>116</v>
      </c>
      <c r="B92" s="62" t="s">
        <v>143</v>
      </c>
      <c r="C92" s="62" t="s">
        <v>159</v>
      </c>
      <c r="D92" s="62">
        <v>1E-3</v>
      </c>
      <c r="E92" s="62">
        <f t="shared" si="1"/>
        <v>3</v>
      </c>
    </row>
    <row r="93" spans="1:5" x14ac:dyDescent="0.2">
      <c r="A93" s="66" t="s">
        <v>115</v>
      </c>
      <c r="B93" s="62" t="s">
        <v>143</v>
      </c>
      <c r="C93" s="62" t="s">
        <v>159</v>
      </c>
      <c r="D93" s="62">
        <v>1E-3</v>
      </c>
      <c r="E93" s="62">
        <f t="shared" si="1"/>
        <v>3</v>
      </c>
    </row>
    <row r="94" spans="1:5" x14ac:dyDescent="0.2">
      <c r="A94" s="66" t="s">
        <v>114</v>
      </c>
      <c r="B94" s="62" t="s">
        <v>143</v>
      </c>
      <c r="C94" s="62" t="s">
        <v>159</v>
      </c>
      <c r="D94" s="62">
        <v>1E-3</v>
      </c>
      <c r="E94" s="62">
        <f t="shared" si="1"/>
        <v>3</v>
      </c>
    </row>
    <row r="95" spans="1:5" x14ac:dyDescent="0.2">
      <c r="A95" s="66" t="s">
        <v>113</v>
      </c>
      <c r="B95" s="62" t="s">
        <v>143</v>
      </c>
      <c r="C95" s="62" t="s">
        <v>159</v>
      </c>
      <c r="D95" s="62">
        <v>0.89300000000000002</v>
      </c>
      <c r="E95" s="62">
        <f t="shared" si="1"/>
        <v>4.9148541111453566E-2</v>
      </c>
    </row>
    <row r="96" spans="1:5" x14ac:dyDescent="0.2">
      <c r="A96" s="66" t="s">
        <v>112</v>
      </c>
      <c r="B96" s="62" t="s">
        <v>143</v>
      </c>
      <c r="C96" s="62" t="s">
        <v>159</v>
      </c>
      <c r="D96" s="62">
        <v>1E-3</v>
      </c>
      <c r="E96" s="62">
        <f t="shared" si="1"/>
        <v>3</v>
      </c>
    </row>
    <row r="97" spans="1:5" x14ac:dyDescent="0.2">
      <c r="A97" s="66" t="s">
        <v>111</v>
      </c>
      <c r="B97" s="62" t="s">
        <v>143</v>
      </c>
      <c r="C97" s="62" t="s">
        <v>159</v>
      </c>
      <c r="D97" s="62">
        <v>6.0000000000000001E-3</v>
      </c>
      <c r="E97" s="62">
        <f t="shared" si="1"/>
        <v>2.2218487496163561</v>
      </c>
    </row>
    <row r="98" spans="1:5" x14ac:dyDescent="0.2">
      <c r="A98" s="66" t="s">
        <v>110</v>
      </c>
      <c r="B98" s="62" t="s">
        <v>143</v>
      </c>
      <c r="C98" s="62" t="s">
        <v>159</v>
      </c>
      <c r="D98" s="62">
        <v>0.371</v>
      </c>
      <c r="E98" s="62">
        <f t="shared" si="1"/>
        <v>0.43062609038495414</v>
      </c>
    </row>
    <row r="99" spans="1:5" x14ac:dyDescent="0.2">
      <c r="A99" s="66" t="s">
        <v>109</v>
      </c>
      <c r="B99" s="62" t="s">
        <v>143</v>
      </c>
      <c r="C99" s="62" t="s">
        <v>159</v>
      </c>
      <c r="D99" s="62">
        <v>0.57399999999999995</v>
      </c>
      <c r="E99" s="62">
        <f t="shared" si="1"/>
        <v>0.24108810760202651</v>
      </c>
    </row>
    <row r="100" spans="1:5" x14ac:dyDescent="0.2">
      <c r="A100" s="66" t="s">
        <v>108</v>
      </c>
      <c r="B100" s="62" t="s">
        <v>143</v>
      </c>
      <c r="C100" s="62" t="s">
        <v>159</v>
      </c>
      <c r="D100" s="62">
        <v>1E-3</v>
      </c>
      <c r="E100" s="62">
        <f t="shared" si="1"/>
        <v>3</v>
      </c>
    </row>
    <row r="101" spans="1:5" x14ac:dyDescent="0.2">
      <c r="A101" s="66" t="s">
        <v>107</v>
      </c>
      <c r="B101" s="62" t="s">
        <v>143</v>
      </c>
      <c r="C101" s="62" t="s">
        <v>159</v>
      </c>
      <c r="D101" s="62">
        <v>1E-3</v>
      </c>
      <c r="E101" s="62">
        <f t="shared" si="1"/>
        <v>3</v>
      </c>
    </row>
    <row r="102" spans="1:5" x14ac:dyDescent="0.2">
      <c r="A102" s="66" t="s">
        <v>106</v>
      </c>
      <c r="B102" s="62" t="s">
        <v>143</v>
      </c>
      <c r="C102" s="62" t="s">
        <v>159</v>
      </c>
      <c r="D102" s="62">
        <v>1E-3</v>
      </c>
      <c r="E102" s="62">
        <f t="shared" si="1"/>
        <v>3</v>
      </c>
    </row>
    <row r="103" spans="1:5" x14ac:dyDescent="0.2">
      <c r="A103" s="66" t="s">
        <v>129</v>
      </c>
      <c r="B103" s="62" t="s">
        <v>143</v>
      </c>
      <c r="C103" s="62" t="s">
        <v>159</v>
      </c>
      <c r="D103" s="62">
        <v>7.0000000000000001E-3</v>
      </c>
      <c r="E103" s="62">
        <f t="shared" si="1"/>
        <v>2.1549019599857431</v>
      </c>
    </row>
    <row r="104" spans="1:5" x14ac:dyDescent="0.2">
      <c r="A104" s="66" t="s">
        <v>104</v>
      </c>
      <c r="B104" s="62" t="s">
        <v>143</v>
      </c>
      <c r="C104" s="62" t="s">
        <v>159</v>
      </c>
      <c r="D104" s="62">
        <v>1E-3</v>
      </c>
      <c r="E104" s="62">
        <f t="shared" si="1"/>
        <v>3</v>
      </c>
    </row>
    <row r="105" spans="1:5" x14ac:dyDescent="0.2">
      <c r="A105" s="66" t="s">
        <v>105</v>
      </c>
      <c r="B105" s="62" t="s">
        <v>143</v>
      </c>
      <c r="C105" s="62" t="s">
        <v>159</v>
      </c>
      <c r="D105" s="62">
        <v>6.0000000000000001E-3</v>
      </c>
      <c r="E105" s="62">
        <f t="shared" si="1"/>
        <v>2.2218487496163561</v>
      </c>
    </row>
    <row r="106" spans="1:5" x14ac:dyDescent="0.2">
      <c r="A106" s="66" t="s">
        <v>103</v>
      </c>
      <c r="B106" s="62" t="s">
        <v>143</v>
      </c>
      <c r="C106" s="62" t="s">
        <v>159</v>
      </c>
      <c r="D106" s="62">
        <v>1E-3</v>
      </c>
      <c r="E106" s="62">
        <f t="shared" si="1"/>
        <v>3</v>
      </c>
    </row>
    <row r="107" spans="1:5" x14ac:dyDescent="0.2">
      <c r="A107" s="66" t="s">
        <v>102</v>
      </c>
      <c r="B107" s="62" t="s">
        <v>143</v>
      </c>
      <c r="C107" s="62" t="s">
        <v>159</v>
      </c>
      <c r="D107" s="62">
        <v>0.17799999999999999</v>
      </c>
      <c r="E107" s="62">
        <f t="shared" si="1"/>
        <v>0.74957999769110606</v>
      </c>
    </row>
    <row r="108" spans="1:5" x14ac:dyDescent="0.2">
      <c r="A108" s="66" t="s">
        <v>101</v>
      </c>
      <c r="B108" s="62" t="s">
        <v>143</v>
      </c>
      <c r="C108" s="62" t="s">
        <v>156</v>
      </c>
      <c r="D108" s="62">
        <v>1E-3</v>
      </c>
      <c r="E108" s="62">
        <f t="shared" si="1"/>
        <v>3</v>
      </c>
    </row>
    <row r="109" spans="1:5" x14ac:dyDescent="0.2">
      <c r="A109" s="66" t="s">
        <v>45</v>
      </c>
      <c r="B109" s="62" t="s">
        <v>143</v>
      </c>
      <c r="C109" s="62" t="s">
        <v>156</v>
      </c>
      <c r="D109" s="62">
        <v>1E-3</v>
      </c>
      <c r="E109" s="62">
        <f t="shared" si="1"/>
        <v>3</v>
      </c>
    </row>
  </sheetData>
  <conditionalFormatting sqref="A31:A53">
    <cfRule type="containsText" dxfId="2" priority="3" operator="containsText" text="42">
      <formula>NOT(ISERROR(SEARCH("42",A31)))</formula>
    </cfRule>
  </conditionalFormatting>
  <conditionalFormatting sqref="A85:A107">
    <cfRule type="containsText" dxfId="1" priority="2" operator="containsText" text="42">
      <formula>NOT(ISERROR(SEARCH("42",A85)))</formula>
    </cfRule>
  </conditionalFormatting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10D14-9341-6C40-88AB-60FBE03E2656}">
  <dimension ref="A1:G55"/>
  <sheetViews>
    <sheetView tabSelected="1" workbookViewId="0">
      <selection activeCell="F2" sqref="F2:G55"/>
    </sheetView>
  </sheetViews>
  <sheetFormatPr baseColWidth="10" defaultRowHeight="16" x14ac:dyDescent="0.2"/>
  <cols>
    <col min="1" max="1" width="28.1640625" bestFit="1" customWidth="1"/>
    <col min="4" max="4" width="15.83203125" bestFit="1" customWidth="1"/>
    <col min="5" max="5" width="26.33203125" bestFit="1" customWidth="1"/>
    <col min="6" max="6" width="23.33203125" bestFit="1" customWidth="1"/>
    <col min="7" max="7" width="27.6640625" bestFit="1" customWidth="1"/>
  </cols>
  <sheetData>
    <row r="1" spans="1:7" x14ac:dyDescent="0.2">
      <c r="A1" s="66" t="s">
        <v>0</v>
      </c>
      <c r="B1" s="62" t="s">
        <v>141</v>
      </c>
      <c r="C1" s="62" t="s">
        <v>154</v>
      </c>
      <c r="D1" s="62" t="s">
        <v>229</v>
      </c>
      <c r="E1" s="62" t="s">
        <v>230</v>
      </c>
      <c r="F1" s="63" t="s">
        <v>231</v>
      </c>
      <c r="G1" s="63" t="s">
        <v>232</v>
      </c>
    </row>
    <row r="2" spans="1:7" x14ac:dyDescent="0.2">
      <c r="A2" s="73" t="s">
        <v>99</v>
      </c>
      <c r="B2" s="74" t="s">
        <v>142</v>
      </c>
      <c r="C2" s="74" t="s">
        <v>99</v>
      </c>
      <c r="D2" s="74">
        <v>2.7000000000000001E-3</v>
      </c>
      <c r="E2" s="74">
        <v>2.7000000000000001E-3</v>
      </c>
      <c r="F2" s="62">
        <f>-LOG10(D2)</f>
        <v>2.5686362358410126</v>
      </c>
      <c r="G2" s="62">
        <f>-LOG10(E2)</f>
        <v>2.5686362358410126</v>
      </c>
    </row>
    <row r="3" spans="1:7" x14ac:dyDescent="0.2">
      <c r="A3" s="66" t="s">
        <v>12</v>
      </c>
      <c r="B3" s="62" t="s">
        <v>142</v>
      </c>
      <c r="C3" s="62" t="s">
        <v>155</v>
      </c>
      <c r="D3" s="62">
        <v>1</v>
      </c>
      <c r="E3" s="62">
        <v>0.98626415099999998</v>
      </c>
      <c r="F3" s="62">
        <f t="shared" ref="F3:F55" si="0">-LOG10(D3)</f>
        <v>0</v>
      </c>
      <c r="G3" s="62">
        <f t="shared" ref="G3:G55" si="1">-LOG10(E3)</f>
        <v>6.0067524445018075E-3</v>
      </c>
    </row>
    <row r="4" spans="1:7" x14ac:dyDescent="0.2">
      <c r="A4" s="66" t="s">
        <v>13</v>
      </c>
      <c r="B4" s="62" t="s">
        <v>142</v>
      </c>
      <c r="C4" s="62" t="s">
        <v>155</v>
      </c>
      <c r="D4" s="62">
        <v>1</v>
      </c>
      <c r="E4" s="62">
        <v>0.94976470599999996</v>
      </c>
      <c r="F4" s="62">
        <f t="shared" si="0"/>
        <v>0</v>
      </c>
      <c r="G4" s="62">
        <f t="shared" si="1"/>
        <v>2.238397317707987E-2</v>
      </c>
    </row>
    <row r="5" spans="1:7" x14ac:dyDescent="0.2">
      <c r="A5" s="66" t="s">
        <v>18</v>
      </c>
      <c r="B5" s="62" t="s">
        <v>142</v>
      </c>
      <c r="C5" s="62" t="s">
        <v>155</v>
      </c>
      <c r="D5" s="62">
        <v>0.78054545500000005</v>
      </c>
      <c r="E5" s="62">
        <v>0.183272727</v>
      </c>
      <c r="F5" s="62">
        <f t="shared" si="0"/>
        <v>0.10760180076189652</v>
      </c>
      <c r="G5" s="62">
        <f t="shared" si="1"/>
        <v>0.73690215803100889</v>
      </c>
    </row>
    <row r="6" spans="1:7" x14ac:dyDescent="0.2">
      <c r="A6" s="66" t="s">
        <v>33</v>
      </c>
      <c r="B6" s="62" t="s">
        <v>142</v>
      </c>
      <c r="C6" s="62" t="s">
        <v>155</v>
      </c>
      <c r="D6" s="62">
        <v>0.81229787200000003</v>
      </c>
      <c r="E6" s="62">
        <v>0.98626415099999998</v>
      </c>
      <c r="F6" s="62">
        <f t="shared" si="0"/>
        <v>9.0284684497857801E-2</v>
      </c>
      <c r="G6" s="62">
        <f t="shared" si="1"/>
        <v>6.0067524445018075E-3</v>
      </c>
    </row>
    <row r="7" spans="1:7" x14ac:dyDescent="0.2">
      <c r="A7" s="66" t="s">
        <v>30</v>
      </c>
      <c r="B7" s="62" t="s">
        <v>142</v>
      </c>
      <c r="C7" s="62" t="s">
        <v>155</v>
      </c>
      <c r="D7" s="62">
        <v>0.98576470599999999</v>
      </c>
      <c r="E7" s="62">
        <v>0.48899999999999999</v>
      </c>
      <c r="F7" s="62">
        <f t="shared" si="0"/>
        <v>6.2267352417939379E-3</v>
      </c>
      <c r="G7" s="62">
        <f t="shared" si="1"/>
        <v>0.31069114087637978</v>
      </c>
    </row>
    <row r="8" spans="1:7" x14ac:dyDescent="0.2">
      <c r="A8" s="77" t="s">
        <v>100</v>
      </c>
      <c r="B8" s="78" t="s">
        <v>142</v>
      </c>
      <c r="C8" s="78" t="s">
        <v>155</v>
      </c>
      <c r="D8" s="78">
        <v>8.6400000000000001E-3</v>
      </c>
      <c r="E8" s="62">
        <v>0.21123529399999999</v>
      </c>
      <c r="F8" s="62">
        <f t="shared" si="0"/>
        <v>2.0634862575211068</v>
      </c>
      <c r="G8" s="62">
        <f t="shared" si="1"/>
        <v>0.67523351649408025</v>
      </c>
    </row>
    <row r="9" spans="1:7" x14ac:dyDescent="0.2">
      <c r="A9" s="66" t="s">
        <v>23</v>
      </c>
      <c r="B9" s="62" t="s">
        <v>142</v>
      </c>
      <c r="C9" s="62" t="s">
        <v>158</v>
      </c>
      <c r="D9" s="62">
        <v>0.52071428600000003</v>
      </c>
      <c r="E9" s="62">
        <v>0.69936585399999995</v>
      </c>
      <c r="F9" s="62">
        <f t="shared" si="0"/>
        <v>0.28340050712196735</v>
      </c>
      <c r="G9" s="62">
        <f t="shared" si="1"/>
        <v>0.15529557560325488</v>
      </c>
    </row>
    <row r="10" spans="1:7" x14ac:dyDescent="0.2">
      <c r="A10" s="77" t="s">
        <v>128</v>
      </c>
      <c r="B10" s="78" t="s">
        <v>142</v>
      </c>
      <c r="C10" s="78" t="s">
        <v>158</v>
      </c>
      <c r="D10" s="78">
        <v>7.0434779999999997E-3</v>
      </c>
      <c r="E10" s="62">
        <v>0.78790909099999995</v>
      </c>
      <c r="F10" s="62">
        <f t="shared" si="0"/>
        <v>2.1522128375599432</v>
      </c>
      <c r="G10" s="62">
        <f t="shared" si="1"/>
        <v>0.1035238885442567</v>
      </c>
    </row>
    <row r="11" spans="1:7" x14ac:dyDescent="0.2">
      <c r="A11" s="66" t="s">
        <v>29</v>
      </c>
      <c r="B11" s="62" t="s">
        <v>142</v>
      </c>
      <c r="C11" s="62" t="s">
        <v>158</v>
      </c>
      <c r="D11" s="62">
        <v>0.59023255799999996</v>
      </c>
      <c r="E11" s="62">
        <v>0.51015789499999997</v>
      </c>
      <c r="F11" s="62">
        <f t="shared" si="0"/>
        <v>0.22897683792357068</v>
      </c>
      <c r="G11" s="62">
        <f t="shared" si="1"/>
        <v>0.29229538799149773</v>
      </c>
    </row>
    <row r="12" spans="1:7" x14ac:dyDescent="0.2">
      <c r="A12" s="80" t="s">
        <v>28</v>
      </c>
      <c r="B12" s="81" t="s">
        <v>142</v>
      </c>
      <c r="C12" s="81" t="s">
        <v>158</v>
      </c>
      <c r="D12" s="62">
        <v>0.27263414600000002</v>
      </c>
      <c r="E12" s="81">
        <v>5.6160000000000002E-2</v>
      </c>
      <c r="F12" s="62">
        <f t="shared" si="0"/>
        <v>0.5644197519837858</v>
      </c>
      <c r="G12" s="62">
        <f t="shared" si="1"/>
        <v>1.2505729008782511</v>
      </c>
    </row>
    <row r="13" spans="1:7" x14ac:dyDescent="0.2">
      <c r="A13" s="66" t="s">
        <v>25</v>
      </c>
      <c r="B13" s="62" t="s">
        <v>142</v>
      </c>
      <c r="C13" s="62" t="s">
        <v>158</v>
      </c>
      <c r="D13" s="62">
        <v>0.104823529</v>
      </c>
      <c r="E13" s="62">
        <v>0.12541935500000001</v>
      </c>
      <c r="F13" s="62">
        <f t="shared" si="0"/>
        <v>0.97954122338340077</v>
      </c>
      <c r="G13" s="62">
        <f t="shared" si="1"/>
        <v>0.90163543702152937</v>
      </c>
    </row>
    <row r="14" spans="1:7" x14ac:dyDescent="0.2">
      <c r="A14" s="66" t="s">
        <v>24</v>
      </c>
      <c r="B14" s="62" t="s">
        <v>142</v>
      </c>
      <c r="C14" s="62" t="s">
        <v>158</v>
      </c>
      <c r="D14" s="62">
        <v>0.25380000000000003</v>
      </c>
      <c r="E14" s="62">
        <v>0.14849999999999999</v>
      </c>
      <c r="F14" s="62">
        <f t="shared" si="0"/>
        <v>0.59550838224131397</v>
      </c>
      <c r="G14" s="62">
        <f t="shared" si="1"/>
        <v>0.82827354634676886</v>
      </c>
    </row>
    <row r="15" spans="1:7" x14ac:dyDescent="0.2">
      <c r="A15" s="66" t="s">
        <v>38</v>
      </c>
      <c r="B15" s="62" t="s">
        <v>142</v>
      </c>
      <c r="C15" s="62" t="s">
        <v>158</v>
      </c>
      <c r="D15" s="62">
        <v>0.81229787200000003</v>
      </c>
      <c r="E15" s="62">
        <v>0.94284000000000001</v>
      </c>
      <c r="F15" s="62">
        <f t="shared" si="0"/>
        <v>9.0284684497857801E-2</v>
      </c>
      <c r="G15" s="62">
        <f t="shared" si="1"/>
        <v>2.5562000807480566E-2</v>
      </c>
    </row>
    <row r="16" spans="1:7" x14ac:dyDescent="0.2">
      <c r="A16" s="77" t="s">
        <v>39</v>
      </c>
      <c r="B16" s="78" t="s">
        <v>142</v>
      </c>
      <c r="C16" s="78" t="s">
        <v>158</v>
      </c>
      <c r="D16" s="78">
        <v>5.0625000000000003E-2</v>
      </c>
      <c r="E16" s="62">
        <v>0.12239999999999999</v>
      </c>
      <c r="F16" s="62">
        <f t="shared" si="0"/>
        <v>1.2956349637772751</v>
      </c>
      <c r="G16" s="62">
        <f t="shared" si="1"/>
        <v>0.91221858219045759</v>
      </c>
    </row>
    <row r="17" spans="1:7" x14ac:dyDescent="0.2">
      <c r="A17" s="66" t="s">
        <v>126</v>
      </c>
      <c r="B17" s="62" t="s">
        <v>142</v>
      </c>
      <c r="C17" s="62" t="s">
        <v>158</v>
      </c>
      <c r="D17" s="62">
        <v>0.91476000000000002</v>
      </c>
      <c r="E17" s="62">
        <v>0.78790909099999995</v>
      </c>
      <c r="F17" s="62">
        <f t="shared" si="0"/>
        <v>3.8692834182343379E-2</v>
      </c>
      <c r="G17" s="62">
        <f t="shared" si="1"/>
        <v>0.1035238885442567</v>
      </c>
    </row>
    <row r="18" spans="1:7" x14ac:dyDescent="0.2">
      <c r="A18" s="66" t="s">
        <v>127</v>
      </c>
      <c r="B18" s="62" t="s">
        <v>142</v>
      </c>
      <c r="C18" s="62" t="s">
        <v>158</v>
      </c>
      <c r="D18" s="62">
        <v>0.86840816300000001</v>
      </c>
      <c r="E18" s="62">
        <v>0.89265306099999997</v>
      </c>
      <c r="F18" s="62">
        <f t="shared" si="0"/>
        <v>6.1276102848670508E-2</v>
      </c>
      <c r="G18" s="62">
        <f t="shared" si="1"/>
        <v>4.9317301436114423E-2</v>
      </c>
    </row>
    <row r="19" spans="1:7" x14ac:dyDescent="0.2">
      <c r="A19" s="75" t="s">
        <v>59</v>
      </c>
      <c r="B19" s="74" t="s">
        <v>142</v>
      </c>
      <c r="C19" s="74" t="s">
        <v>157</v>
      </c>
      <c r="D19" s="74">
        <v>2.7000000000000001E-3</v>
      </c>
      <c r="E19" s="74">
        <v>2.7000000000000001E-3</v>
      </c>
      <c r="F19" s="62">
        <f t="shared" si="0"/>
        <v>2.5686362358410126</v>
      </c>
      <c r="G19" s="62">
        <f t="shared" si="1"/>
        <v>2.5686362358410126</v>
      </c>
    </row>
    <row r="20" spans="1:7" x14ac:dyDescent="0.2">
      <c r="A20" s="75" t="s">
        <v>52</v>
      </c>
      <c r="B20" s="74" t="s">
        <v>142</v>
      </c>
      <c r="C20" s="74" t="s">
        <v>157</v>
      </c>
      <c r="D20" s="74">
        <v>2.7000000000000001E-3</v>
      </c>
      <c r="E20" s="74">
        <v>2.7000000000000001E-3</v>
      </c>
      <c r="F20" s="62">
        <f t="shared" si="0"/>
        <v>2.5686362358410126</v>
      </c>
      <c r="G20" s="62">
        <f t="shared" si="1"/>
        <v>2.5686362358410126</v>
      </c>
    </row>
    <row r="21" spans="1:7" x14ac:dyDescent="0.2">
      <c r="A21" s="79" t="s">
        <v>57</v>
      </c>
      <c r="B21" s="78" t="s">
        <v>142</v>
      </c>
      <c r="C21" s="78" t="s">
        <v>157</v>
      </c>
      <c r="D21" s="78">
        <v>2.1214285999999999E-2</v>
      </c>
      <c r="E21" s="62">
        <v>0.378</v>
      </c>
      <c r="F21" s="62">
        <f t="shared" si="0"/>
        <v>1.6733715805119418</v>
      </c>
      <c r="G21" s="62">
        <f t="shared" si="1"/>
        <v>0.42250820016277468</v>
      </c>
    </row>
    <row r="22" spans="1:7" x14ac:dyDescent="0.2">
      <c r="A22" s="75" t="s">
        <v>56</v>
      </c>
      <c r="B22" s="74" t="s">
        <v>142</v>
      </c>
      <c r="C22" s="74" t="s">
        <v>157</v>
      </c>
      <c r="D22" s="74">
        <v>4.909091E-3</v>
      </c>
      <c r="E22" s="74">
        <v>8.5655172000000002E-2</v>
      </c>
      <c r="F22" s="62">
        <f t="shared" si="0"/>
        <v>2.3089989172927661</v>
      </c>
      <c r="G22" s="62">
        <f t="shared" si="1"/>
        <v>1.0672464084924544</v>
      </c>
    </row>
    <row r="23" spans="1:7" x14ac:dyDescent="0.2">
      <c r="A23" s="75" t="s">
        <v>55</v>
      </c>
      <c r="B23" s="74" t="s">
        <v>142</v>
      </c>
      <c r="C23" s="74" t="s">
        <v>157</v>
      </c>
      <c r="D23" s="74">
        <v>2.7000000000000001E-3</v>
      </c>
      <c r="E23" s="74">
        <v>2.7000000000000001E-3</v>
      </c>
      <c r="F23" s="62">
        <f t="shared" si="0"/>
        <v>2.5686362358410126</v>
      </c>
      <c r="G23" s="62">
        <f t="shared" si="1"/>
        <v>2.5686362358410126</v>
      </c>
    </row>
    <row r="24" spans="1:7" x14ac:dyDescent="0.2">
      <c r="A24" s="75" t="s">
        <v>58</v>
      </c>
      <c r="B24" s="74" t="s">
        <v>142</v>
      </c>
      <c r="C24" s="74" t="s">
        <v>157</v>
      </c>
      <c r="D24" s="74">
        <v>2.7E-2</v>
      </c>
      <c r="E24" s="74">
        <v>5.1428569999999998E-3</v>
      </c>
      <c r="F24" s="62">
        <f t="shared" si="0"/>
        <v>1.5686362358410126</v>
      </c>
      <c r="G24" s="62">
        <f t="shared" si="1"/>
        <v>2.2887955513107054</v>
      </c>
    </row>
    <row r="25" spans="1:7" x14ac:dyDescent="0.2">
      <c r="A25" s="75" t="s">
        <v>47</v>
      </c>
      <c r="B25" s="74" t="s">
        <v>142</v>
      </c>
      <c r="C25" s="74" t="s">
        <v>157</v>
      </c>
      <c r="D25" s="74">
        <v>2.7000000000000001E-3</v>
      </c>
      <c r="E25" s="74">
        <v>2.3478261E-2</v>
      </c>
      <c r="F25" s="62">
        <f t="shared" si="0"/>
        <v>2.5686362358410126</v>
      </c>
      <c r="G25" s="62">
        <f t="shared" si="1"/>
        <v>1.6293340737818773</v>
      </c>
    </row>
    <row r="26" spans="1:7" x14ac:dyDescent="0.2">
      <c r="A26" s="67" t="s">
        <v>48</v>
      </c>
      <c r="B26" s="62" t="s">
        <v>142</v>
      </c>
      <c r="C26" s="62" t="s">
        <v>157</v>
      </c>
      <c r="D26" s="62">
        <v>0.81229787200000003</v>
      </c>
      <c r="E26" s="62">
        <v>0.84217021299999995</v>
      </c>
      <c r="F26" s="62">
        <f t="shared" si="0"/>
        <v>9.0284684497857801E-2</v>
      </c>
      <c r="G26" s="62">
        <f t="shared" si="1"/>
        <v>7.4600123350928832E-2</v>
      </c>
    </row>
    <row r="27" spans="1:7" x14ac:dyDescent="0.2">
      <c r="A27" s="75" t="s">
        <v>49</v>
      </c>
      <c r="B27" s="74" t="s">
        <v>142</v>
      </c>
      <c r="C27" s="74" t="s">
        <v>157</v>
      </c>
      <c r="D27" s="74">
        <v>2.7000000000000001E-3</v>
      </c>
      <c r="E27" s="74">
        <v>2.7000000000000001E-3</v>
      </c>
      <c r="F27" s="62">
        <f t="shared" si="0"/>
        <v>2.5686362358410126</v>
      </c>
      <c r="G27" s="62">
        <f t="shared" si="1"/>
        <v>2.5686362358410126</v>
      </c>
    </row>
    <row r="28" spans="1:7" x14ac:dyDescent="0.2">
      <c r="A28" s="82" t="s">
        <v>50</v>
      </c>
      <c r="B28" s="81" t="s">
        <v>142</v>
      </c>
      <c r="C28" s="81" t="s">
        <v>157</v>
      </c>
      <c r="D28" s="62">
        <v>0.1095</v>
      </c>
      <c r="E28" s="81">
        <v>4.2750000000000003E-2</v>
      </c>
      <c r="F28" s="62">
        <f t="shared" si="0"/>
        <v>0.96058588082386287</v>
      </c>
      <c r="G28" s="62">
        <f t="shared" si="1"/>
        <v>1.3690638809358084</v>
      </c>
    </row>
    <row r="29" spans="1:7" x14ac:dyDescent="0.2">
      <c r="A29" s="79" t="s">
        <v>53</v>
      </c>
      <c r="B29" s="78" t="s">
        <v>142</v>
      </c>
      <c r="C29" s="78" t="s">
        <v>157</v>
      </c>
      <c r="D29" s="78">
        <v>2.7000000000000001E-3</v>
      </c>
      <c r="E29" s="62">
        <v>0.78790909099999995</v>
      </c>
      <c r="F29" s="62">
        <f t="shared" si="0"/>
        <v>2.5686362358410126</v>
      </c>
      <c r="G29" s="62">
        <f t="shared" si="1"/>
        <v>0.1035238885442567</v>
      </c>
    </row>
    <row r="30" spans="1:7" x14ac:dyDescent="0.2">
      <c r="A30" s="76" t="s">
        <v>124</v>
      </c>
      <c r="B30" s="74" t="s">
        <v>142</v>
      </c>
      <c r="C30" s="74" t="s">
        <v>159</v>
      </c>
      <c r="D30" s="74">
        <v>1.6615385E-2</v>
      </c>
      <c r="E30" s="74">
        <v>7.3636359999999998E-3</v>
      </c>
      <c r="F30" s="62">
        <f t="shared" si="0"/>
        <v>1.779489591102793</v>
      </c>
      <c r="G30" s="62">
        <f t="shared" si="1"/>
        <v>2.1329076877262167</v>
      </c>
    </row>
    <row r="31" spans="1:7" x14ac:dyDescent="0.2">
      <c r="A31" s="66" t="s">
        <v>123</v>
      </c>
      <c r="B31" s="62" t="s">
        <v>142</v>
      </c>
      <c r="C31" s="62" t="s">
        <v>159</v>
      </c>
      <c r="D31" s="62">
        <v>1</v>
      </c>
      <c r="E31" s="62">
        <v>1</v>
      </c>
      <c r="F31" s="62">
        <f t="shared" si="0"/>
        <v>0</v>
      </c>
      <c r="G31" s="62">
        <f t="shared" si="1"/>
        <v>0</v>
      </c>
    </row>
    <row r="32" spans="1:7" x14ac:dyDescent="0.2">
      <c r="A32" s="77" t="s">
        <v>122</v>
      </c>
      <c r="B32" s="78" t="s">
        <v>142</v>
      </c>
      <c r="C32" s="78" t="s">
        <v>159</v>
      </c>
      <c r="D32" s="78">
        <v>2.7000000000000001E-3</v>
      </c>
      <c r="E32" s="62">
        <v>0.89265306099999997</v>
      </c>
      <c r="F32" s="62">
        <f t="shared" si="0"/>
        <v>2.5686362358410126</v>
      </c>
      <c r="G32" s="62">
        <f t="shared" si="1"/>
        <v>4.9317301436114423E-2</v>
      </c>
    </row>
    <row r="33" spans="1:7" x14ac:dyDescent="0.2">
      <c r="A33" s="76" t="s">
        <v>121</v>
      </c>
      <c r="B33" s="74" t="s">
        <v>142</v>
      </c>
      <c r="C33" s="74" t="s">
        <v>159</v>
      </c>
      <c r="D33" s="74">
        <v>2.7000000000000001E-3</v>
      </c>
      <c r="E33" s="74">
        <v>2.7000000000000001E-3</v>
      </c>
      <c r="F33" s="62">
        <f t="shared" si="0"/>
        <v>2.5686362358410126</v>
      </c>
      <c r="G33" s="62">
        <f t="shared" si="1"/>
        <v>2.5686362358410126</v>
      </c>
    </row>
    <row r="34" spans="1:7" x14ac:dyDescent="0.2">
      <c r="A34" s="76" t="s">
        <v>120</v>
      </c>
      <c r="B34" s="74" t="s">
        <v>142</v>
      </c>
      <c r="C34" s="74" t="s">
        <v>159</v>
      </c>
      <c r="D34" s="74">
        <v>2.7000000000000001E-3</v>
      </c>
      <c r="E34" s="74">
        <v>2.7000000000000001E-3</v>
      </c>
      <c r="F34" s="62">
        <f t="shared" si="0"/>
        <v>2.5686362358410126</v>
      </c>
      <c r="G34" s="62">
        <f t="shared" si="1"/>
        <v>2.5686362358410126</v>
      </c>
    </row>
    <row r="35" spans="1:7" x14ac:dyDescent="0.2">
      <c r="A35" s="77" t="s">
        <v>119</v>
      </c>
      <c r="B35" s="78" t="s">
        <v>142</v>
      </c>
      <c r="C35" s="78" t="s">
        <v>159</v>
      </c>
      <c r="D35" s="78">
        <v>4.909091E-3</v>
      </c>
      <c r="E35" s="62">
        <v>0.55800000000000005</v>
      </c>
      <c r="F35" s="62">
        <f t="shared" si="0"/>
        <v>2.3089989172927661</v>
      </c>
      <c r="G35" s="62">
        <f t="shared" si="1"/>
        <v>0.25336580106242124</v>
      </c>
    </row>
    <row r="36" spans="1:7" x14ac:dyDescent="0.2">
      <c r="A36" s="76" t="s">
        <v>118</v>
      </c>
      <c r="B36" s="74" t="s">
        <v>142</v>
      </c>
      <c r="C36" s="74" t="s">
        <v>159</v>
      </c>
      <c r="D36" s="74">
        <v>2.7000000000000001E-3</v>
      </c>
      <c r="E36" s="74">
        <v>2.7000000000000001E-3</v>
      </c>
      <c r="F36" s="62">
        <f t="shared" si="0"/>
        <v>2.5686362358410126</v>
      </c>
      <c r="G36" s="62">
        <f t="shared" si="1"/>
        <v>2.5686362358410126</v>
      </c>
    </row>
    <row r="37" spans="1:7" x14ac:dyDescent="0.2">
      <c r="A37" s="80" t="s">
        <v>117</v>
      </c>
      <c r="B37" s="81" t="s">
        <v>142</v>
      </c>
      <c r="C37" s="81" t="s">
        <v>159</v>
      </c>
      <c r="D37" s="62">
        <v>0.14210526300000001</v>
      </c>
      <c r="E37" s="81">
        <v>5.8153846000000002E-2</v>
      </c>
      <c r="F37" s="62">
        <f t="shared" si="0"/>
        <v>0.84738983727639106</v>
      </c>
      <c r="G37" s="62">
        <f t="shared" si="1"/>
        <v>1.2354215579545573</v>
      </c>
    </row>
    <row r="38" spans="1:7" x14ac:dyDescent="0.2">
      <c r="A38" s="76" t="s">
        <v>116</v>
      </c>
      <c r="B38" s="74" t="s">
        <v>142</v>
      </c>
      <c r="C38" s="74" t="s">
        <v>159</v>
      </c>
      <c r="D38" s="74">
        <v>2.7000000000000001E-3</v>
      </c>
      <c r="E38" s="74">
        <v>2.7000000000000001E-3</v>
      </c>
      <c r="F38" s="62">
        <f t="shared" si="0"/>
        <v>2.5686362358410126</v>
      </c>
      <c r="G38" s="62">
        <f t="shared" si="1"/>
        <v>2.5686362358410126</v>
      </c>
    </row>
    <row r="39" spans="1:7" x14ac:dyDescent="0.2">
      <c r="A39" s="76" t="s">
        <v>115</v>
      </c>
      <c r="B39" s="74" t="s">
        <v>142</v>
      </c>
      <c r="C39" s="74" t="s">
        <v>159</v>
      </c>
      <c r="D39" s="74">
        <v>8.6400000000000001E-3</v>
      </c>
      <c r="E39" s="74">
        <v>2.7000000000000001E-3</v>
      </c>
      <c r="F39" s="62">
        <f t="shared" si="0"/>
        <v>2.0634862575211068</v>
      </c>
      <c r="G39" s="62">
        <f t="shared" si="1"/>
        <v>2.5686362358410126</v>
      </c>
    </row>
    <row r="40" spans="1:7" x14ac:dyDescent="0.2">
      <c r="A40" s="76" t="s">
        <v>114</v>
      </c>
      <c r="B40" s="74" t="s">
        <v>142</v>
      </c>
      <c r="C40" s="74" t="s">
        <v>159</v>
      </c>
      <c r="D40" s="74">
        <v>2.7000000000000001E-3</v>
      </c>
      <c r="E40" s="74">
        <v>2.7000000000000001E-3</v>
      </c>
      <c r="F40" s="62">
        <f t="shared" si="0"/>
        <v>2.5686362358410126</v>
      </c>
      <c r="G40" s="62">
        <f t="shared" si="1"/>
        <v>2.5686362358410126</v>
      </c>
    </row>
    <row r="41" spans="1:7" x14ac:dyDescent="0.2">
      <c r="A41" s="66" t="s">
        <v>113</v>
      </c>
      <c r="B41" s="62" t="s">
        <v>142</v>
      </c>
      <c r="C41" s="62" t="s">
        <v>159</v>
      </c>
      <c r="D41" s="62">
        <v>0.86840816300000001</v>
      </c>
      <c r="E41" s="62">
        <v>0.84217021299999995</v>
      </c>
      <c r="F41" s="62">
        <f t="shared" si="0"/>
        <v>6.1276102848670508E-2</v>
      </c>
      <c r="G41" s="62">
        <f t="shared" si="1"/>
        <v>7.4600123350928832E-2</v>
      </c>
    </row>
    <row r="42" spans="1:7" x14ac:dyDescent="0.2">
      <c r="A42" s="76" t="s">
        <v>112</v>
      </c>
      <c r="B42" s="74" t="s">
        <v>142</v>
      </c>
      <c r="C42" s="74" t="s">
        <v>159</v>
      </c>
      <c r="D42" s="74">
        <v>2.7000000000000001E-3</v>
      </c>
      <c r="E42" s="74">
        <v>2.7000000000000001E-3</v>
      </c>
      <c r="F42" s="62">
        <f t="shared" si="0"/>
        <v>2.5686362358410126</v>
      </c>
      <c r="G42" s="62">
        <f t="shared" si="1"/>
        <v>2.5686362358410126</v>
      </c>
    </row>
    <row r="43" spans="1:7" x14ac:dyDescent="0.2">
      <c r="A43" s="76" t="s">
        <v>111</v>
      </c>
      <c r="B43" s="74" t="s">
        <v>142</v>
      </c>
      <c r="C43" s="74" t="s">
        <v>159</v>
      </c>
      <c r="D43" s="74">
        <v>2.7E-2</v>
      </c>
      <c r="E43" s="74">
        <v>8.5655172000000002E-2</v>
      </c>
      <c r="F43" s="62">
        <f t="shared" si="0"/>
        <v>1.5686362358410126</v>
      </c>
      <c r="G43" s="62">
        <f t="shared" si="1"/>
        <v>1.0672464084924544</v>
      </c>
    </row>
    <row r="44" spans="1:7" x14ac:dyDescent="0.2">
      <c r="A44" s="76" t="s">
        <v>110</v>
      </c>
      <c r="B44" s="74" t="s">
        <v>142</v>
      </c>
      <c r="C44" s="74" t="s">
        <v>159</v>
      </c>
      <c r="D44" s="74">
        <v>3.4838710000000002E-2</v>
      </c>
      <c r="E44" s="74">
        <v>2.7000000000000001E-3</v>
      </c>
      <c r="F44" s="62">
        <f t="shared" si="0"/>
        <v>1.4579379343260779</v>
      </c>
      <c r="G44" s="62">
        <f t="shared" si="1"/>
        <v>2.5686362358410126</v>
      </c>
    </row>
    <row r="45" spans="1:7" x14ac:dyDescent="0.2">
      <c r="A45" s="66" t="s">
        <v>109</v>
      </c>
      <c r="B45" s="62" t="s">
        <v>142</v>
      </c>
      <c r="C45" s="62" t="s">
        <v>159</v>
      </c>
      <c r="D45" s="62">
        <v>0.196615385</v>
      </c>
      <c r="E45" s="62">
        <v>0.84217021299999995</v>
      </c>
      <c r="F45" s="62">
        <f t="shared" si="0"/>
        <v>0.70638250197091534</v>
      </c>
      <c r="G45" s="62">
        <f t="shared" si="1"/>
        <v>7.4600123350928832E-2</v>
      </c>
    </row>
    <row r="46" spans="1:7" x14ac:dyDescent="0.2">
      <c r="A46" s="76" t="s">
        <v>108</v>
      </c>
      <c r="B46" s="74" t="s">
        <v>142</v>
      </c>
      <c r="C46" s="74" t="s">
        <v>159</v>
      </c>
      <c r="D46" s="74">
        <v>2.7000000000000001E-3</v>
      </c>
      <c r="E46" s="74">
        <v>2.7000000000000001E-3</v>
      </c>
      <c r="F46" s="62">
        <f t="shared" si="0"/>
        <v>2.5686362358410126</v>
      </c>
      <c r="G46" s="62">
        <f t="shared" si="1"/>
        <v>2.5686362358410126</v>
      </c>
    </row>
    <row r="47" spans="1:7" x14ac:dyDescent="0.2">
      <c r="A47" s="76" t="s">
        <v>107</v>
      </c>
      <c r="B47" s="74" t="s">
        <v>142</v>
      </c>
      <c r="C47" s="74" t="s">
        <v>159</v>
      </c>
      <c r="D47" s="74">
        <v>2.7000000000000001E-3</v>
      </c>
      <c r="E47" s="74">
        <v>2.7000000000000001E-3</v>
      </c>
      <c r="F47" s="62">
        <f t="shared" si="0"/>
        <v>2.5686362358410126</v>
      </c>
      <c r="G47" s="62">
        <f t="shared" si="1"/>
        <v>2.5686362358410126</v>
      </c>
    </row>
    <row r="48" spans="1:7" x14ac:dyDescent="0.2">
      <c r="A48" s="76" t="s">
        <v>106</v>
      </c>
      <c r="B48" s="74" t="s">
        <v>142</v>
      </c>
      <c r="C48" s="74" t="s">
        <v>159</v>
      </c>
      <c r="D48" s="74">
        <v>2.7000000000000001E-3</v>
      </c>
      <c r="E48" s="74">
        <v>2.7000000000000001E-3</v>
      </c>
      <c r="F48" s="62">
        <f t="shared" si="0"/>
        <v>2.5686362358410126</v>
      </c>
      <c r="G48" s="62">
        <f t="shared" si="1"/>
        <v>2.5686362358410126</v>
      </c>
    </row>
    <row r="49" spans="1:7" x14ac:dyDescent="0.2">
      <c r="A49" s="77" t="s">
        <v>129</v>
      </c>
      <c r="B49" s="78" t="s">
        <v>142</v>
      </c>
      <c r="C49" s="78" t="s">
        <v>159</v>
      </c>
      <c r="D49" s="78">
        <v>1.7999999999999999E-2</v>
      </c>
      <c r="E49" s="62">
        <v>0.51015789499999997</v>
      </c>
      <c r="F49" s="62">
        <f t="shared" si="0"/>
        <v>1.744727494896694</v>
      </c>
      <c r="G49" s="62">
        <f t="shared" si="1"/>
        <v>0.29229538799149773</v>
      </c>
    </row>
    <row r="50" spans="1:7" x14ac:dyDescent="0.2">
      <c r="A50" s="76" t="s">
        <v>104</v>
      </c>
      <c r="B50" s="74" t="s">
        <v>142</v>
      </c>
      <c r="C50" s="74" t="s">
        <v>159</v>
      </c>
      <c r="D50" s="74">
        <v>2.7000000000000001E-3</v>
      </c>
      <c r="E50" s="74">
        <v>2.7000000000000001E-3</v>
      </c>
      <c r="F50" s="62">
        <f t="shared" si="0"/>
        <v>2.5686362358410126</v>
      </c>
      <c r="G50" s="62">
        <f t="shared" si="1"/>
        <v>2.5686362358410126</v>
      </c>
    </row>
    <row r="51" spans="1:7" x14ac:dyDescent="0.2">
      <c r="A51" s="80" t="s">
        <v>105</v>
      </c>
      <c r="B51" s="81" t="s">
        <v>142</v>
      </c>
      <c r="C51" s="81" t="s">
        <v>159</v>
      </c>
      <c r="D51" s="62">
        <v>0.10309090899999999</v>
      </c>
      <c r="E51" s="81">
        <v>6.8000000000000005E-2</v>
      </c>
      <c r="F51" s="62">
        <f t="shared" si="0"/>
        <v>0.98677963098431298</v>
      </c>
      <c r="G51" s="62">
        <f t="shared" si="1"/>
        <v>1.1674910872937636</v>
      </c>
    </row>
    <row r="52" spans="1:7" x14ac:dyDescent="0.2">
      <c r="A52" s="80" t="s">
        <v>103</v>
      </c>
      <c r="B52" s="81" t="s">
        <v>142</v>
      </c>
      <c r="C52" s="81" t="s">
        <v>159</v>
      </c>
      <c r="D52" s="62">
        <v>0.1095</v>
      </c>
      <c r="E52" s="81">
        <v>2.7000000000000001E-3</v>
      </c>
      <c r="F52" s="62">
        <f t="shared" si="0"/>
        <v>0.96058588082386287</v>
      </c>
      <c r="G52" s="62">
        <f t="shared" si="1"/>
        <v>2.5686362358410126</v>
      </c>
    </row>
    <row r="53" spans="1:7" x14ac:dyDescent="0.2">
      <c r="A53" s="66" t="s">
        <v>102</v>
      </c>
      <c r="B53" s="62" t="s">
        <v>142</v>
      </c>
      <c r="C53" s="62" t="s">
        <v>159</v>
      </c>
      <c r="D53" s="62">
        <v>0.124054054</v>
      </c>
      <c r="E53" s="62">
        <v>0.56294999999999995</v>
      </c>
      <c r="F53" s="62">
        <f t="shared" si="0"/>
        <v>0.90638903871896881</v>
      </c>
      <c r="G53" s="62">
        <f t="shared" si="1"/>
        <v>0.24953017653123641</v>
      </c>
    </row>
    <row r="54" spans="1:7" x14ac:dyDescent="0.2">
      <c r="A54" s="76" t="s">
        <v>101</v>
      </c>
      <c r="B54" s="74" t="s">
        <v>142</v>
      </c>
      <c r="C54" s="74" t="s">
        <v>156</v>
      </c>
      <c r="D54" s="74">
        <v>2.7000000000000001E-3</v>
      </c>
      <c r="E54" s="74">
        <v>2.7000000000000001E-3</v>
      </c>
      <c r="F54" s="62">
        <f t="shared" si="0"/>
        <v>2.5686362358410126</v>
      </c>
      <c r="G54" s="62">
        <f t="shared" si="1"/>
        <v>2.5686362358410126</v>
      </c>
    </row>
    <row r="55" spans="1:7" x14ac:dyDescent="0.2">
      <c r="A55" s="76" t="s">
        <v>45</v>
      </c>
      <c r="B55" s="74" t="s">
        <v>142</v>
      </c>
      <c r="C55" s="74" t="s">
        <v>156</v>
      </c>
      <c r="D55" s="74">
        <v>2.7000000000000001E-3</v>
      </c>
      <c r="E55" s="74">
        <v>2.7000000000000001E-3</v>
      </c>
      <c r="F55" s="62">
        <f t="shared" si="0"/>
        <v>2.5686362358410126</v>
      </c>
      <c r="G55" s="62">
        <f t="shared" si="1"/>
        <v>2.5686362358410126</v>
      </c>
    </row>
  </sheetData>
  <autoFilter ref="D1:E55" xr:uid="{B5D10D14-9341-6C40-88AB-60FBE03E2656}"/>
  <conditionalFormatting sqref="A31:A53">
    <cfRule type="containsText" dxfId="0" priority="1" operator="containsText" text="42">
      <formula>NOT(ISERROR(SEARCH("42",A31)))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RT</vt:lpstr>
      <vt:lpstr>Sheet1</vt:lpstr>
      <vt:lpstr>Drop</vt:lpstr>
      <vt:lpstr>Drop_NEC</vt:lpstr>
      <vt:lpstr>Drop_NEC_early</vt:lpstr>
      <vt:lpstr>Drop_NEC_late</vt:lpstr>
      <vt:lpstr>Drop_metadata_vOTU</vt:lpstr>
      <vt:lpstr>Drop_metadata_phage_HostGenus</vt:lpstr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Thaenert, Robert</dc:creator>
  <cp:lastModifiedBy>Kailun Zhang</cp:lastModifiedBy>
  <dcterms:created xsi:type="dcterms:W3CDTF">2021-05-28T01:22:42Z</dcterms:created>
  <dcterms:modified xsi:type="dcterms:W3CDTF">2025-04-28T16:12:29Z</dcterms:modified>
</cp:coreProperties>
</file>